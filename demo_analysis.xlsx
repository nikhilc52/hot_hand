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OneDrive\Documents\GitHub\brsn_hot_hand\"/>
    </mc:Choice>
  </mc:AlternateContent>
  <xr:revisionPtr revIDLastSave="0" documentId="13_ncr:1_{EB222B6F-8969-487C-A16D-44D2AC3A3C1C}" xr6:coauthVersionLast="47" xr6:coauthVersionMax="47" xr10:uidLastSave="{00000000-0000-0000-0000-000000000000}"/>
  <bookViews>
    <workbookView xWindow="-110" yWindow="-110" windowWidth="22620" windowHeight="13500" activeTab="1" xr2:uid="{220D2940-96CA-40C7-A2A5-1CEE7AE4BF13}"/>
  </bookViews>
  <sheets>
    <sheet name="table1" sheetId="1" r:id="rId1"/>
    <sheet name="Sheet5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6" l="1"/>
  <c r="Q3" i="6" s="1"/>
  <c r="R3" i="6" s="1"/>
  <c r="P2" i="6"/>
  <c r="P10" i="6"/>
  <c r="Q10" i="6" s="1"/>
  <c r="R10" i="6" s="1"/>
  <c r="P9" i="6"/>
  <c r="Q9" i="6" s="1"/>
  <c r="R9" i="6" s="1"/>
  <c r="P8" i="6"/>
  <c r="Q8" i="6" s="1"/>
  <c r="R8" i="6" s="1"/>
  <c r="P7" i="6"/>
  <c r="Q7" i="6" s="1"/>
  <c r="R7" i="6" s="1"/>
  <c r="P6" i="6"/>
  <c r="Q6" i="6" s="1"/>
  <c r="R6" i="6" s="1"/>
  <c r="S10" i="6"/>
  <c r="T10" i="6"/>
  <c r="S9" i="6"/>
  <c r="T9" i="6"/>
  <c r="S8" i="6"/>
  <c r="T8" i="6"/>
  <c r="S7" i="6"/>
  <c r="T7" i="6"/>
  <c r="S6" i="6"/>
  <c r="T6" i="6"/>
  <c r="T5" i="6"/>
  <c r="S5" i="6"/>
  <c r="P5" i="6"/>
  <c r="Q5" i="6" s="1"/>
  <c r="R5" i="6" s="1"/>
  <c r="T4" i="6"/>
  <c r="S4" i="6"/>
  <c r="P4" i="6"/>
  <c r="Q4" i="6" s="1"/>
  <c r="R4" i="6" s="1"/>
  <c r="Q2" i="6"/>
  <c r="R2" i="6" s="1"/>
  <c r="T3" i="6"/>
  <c r="S3" i="6"/>
  <c r="S2" i="6"/>
  <c r="T2" i="6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U2" i="6" l="1"/>
</calcChain>
</file>

<file path=xl/sharedStrings.xml><?xml version="1.0" encoding="utf-8"?>
<sst xmlns="http://schemas.openxmlformats.org/spreadsheetml/2006/main" count="39" uniqueCount="21">
  <si>
    <t>athleteId</t>
  </si>
  <si>
    <t>countHit</t>
  </si>
  <si>
    <t>prHit</t>
  </si>
  <si>
    <t>count3Misses</t>
  </si>
  <si>
    <t>prHit3Misses</t>
  </si>
  <si>
    <t>count2Misses</t>
  </si>
  <si>
    <t>prHit2Misses</t>
  </si>
  <si>
    <t>count1Miss</t>
  </si>
  <si>
    <t>prHit1Miss</t>
  </si>
  <si>
    <t>count1Make</t>
  </si>
  <si>
    <t>prHit1Make</t>
  </si>
  <si>
    <t>count2Makes</t>
  </si>
  <si>
    <t>prHit2Makes</t>
  </si>
  <si>
    <t>count3Makes</t>
  </si>
  <si>
    <t>prHit3Makes</t>
  </si>
  <si>
    <t>serialCorrelation</t>
  </si>
  <si>
    <t>Pvalue</t>
  </si>
  <si>
    <t>yuleWalkerEstimateZ</t>
  </si>
  <si>
    <t>ExpectedRuns</t>
  </si>
  <si>
    <t>SDRuns</t>
  </si>
  <si>
    <t>Zruns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</si>
</sst>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3568-7AEC-4406-9D1A-FAE11CA8D61D}">
  <dimension ref="A1:R18"/>
  <sheetViews>
    <sheetView topLeftCell="D1" workbookViewId="0">
      <selection activeCell="P2" sqref="P2"/>
    </sheetView>
  </sheetViews>
  <sheetFormatPr defaultRowHeight="14.5" x14ac:dyDescent="0.35"/>
  <cols>
    <col min="1" max="2" width="12.36328125" bestFit="1" customWidth="1"/>
    <col min="3" max="3" width="12.08984375" style="2" bestFit="1" customWidth="1"/>
    <col min="4" max="4" width="12.36328125" bestFit="1" customWidth="1"/>
    <col min="5" max="5" width="12.08984375" style="2" bestFit="1" customWidth="1"/>
    <col min="6" max="6" width="10.453125" bestFit="1" customWidth="1"/>
    <col min="7" max="7" width="12.08984375" style="2" bestFit="1" customWidth="1"/>
    <col min="8" max="8" width="8.36328125" bestFit="1" customWidth="1"/>
    <col min="9" max="9" width="12.08984375" style="2" bestFit="1" customWidth="1"/>
    <col min="10" max="10" width="11.08984375" bestFit="1" customWidth="1"/>
    <col min="11" max="11" width="12.08984375" style="2" bestFit="1" customWidth="1"/>
    <col min="12" max="12" width="12" bestFit="1" customWidth="1"/>
    <col min="13" max="13" width="12.08984375" style="2" bestFit="1" customWidth="1"/>
    <col min="14" max="14" width="12" bestFit="1" customWidth="1"/>
    <col min="15" max="15" width="12.08984375" style="2" bestFit="1" customWidth="1"/>
    <col min="16" max="16" width="23.7265625" customWidth="1"/>
    <col min="17" max="17" width="21" customWidth="1"/>
  </cols>
  <sheetData>
    <row r="1" spans="1:18" x14ac:dyDescent="0.35">
      <c r="A1" s="1" t="s">
        <v>0</v>
      </c>
      <c r="B1" s="1" t="s">
        <v>3</v>
      </c>
      <c r="C1" s="2" t="s">
        <v>4</v>
      </c>
      <c r="D1" s="1" t="s">
        <v>5</v>
      </c>
      <c r="E1" s="2" t="s">
        <v>6</v>
      </c>
      <c r="F1" s="1" t="s">
        <v>7</v>
      </c>
      <c r="G1" s="2" t="s">
        <v>8</v>
      </c>
      <c r="H1" s="1" t="s">
        <v>1</v>
      </c>
      <c r="I1" s="2" t="s">
        <v>2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t="s">
        <v>17</v>
      </c>
      <c r="R1" t="s">
        <v>16</v>
      </c>
    </row>
    <row r="2" spans="1:18" x14ac:dyDescent="0.35">
      <c r="A2" s="1">
        <v>5106247</v>
      </c>
      <c r="B2" s="1">
        <v>16</v>
      </c>
      <c r="C2" s="2">
        <v>0.5625</v>
      </c>
      <c r="D2" s="1">
        <v>47</v>
      </c>
      <c r="E2" s="2">
        <v>0.61702127659574402</v>
      </c>
      <c r="F2" s="1">
        <v>119</v>
      </c>
      <c r="G2" s="2">
        <v>0.57142857142857095</v>
      </c>
      <c r="H2" s="1">
        <v>279</v>
      </c>
      <c r="I2" s="2">
        <v>0.51971326164874498</v>
      </c>
      <c r="J2" s="1">
        <v>137</v>
      </c>
      <c r="K2" s="2">
        <v>0.452554744525547</v>
      </c>
      <c r="L2" s="1">
        <v>56</v>
      </c>
      <c r="M2" s="2">
        <v>0.46428571428571402</v>
      </c>
      <c r="N2" s="1">
        <v>24</v>
      </c>
      <c r="O2" s="2">
        <v>0.375</v>
      </c>
      <c r="P2">
        <f>((K2*I2)-(I2*I2))/(I2*(1-I2))</f>
        <v>-0.13983004684606123</v>
      </c>
      <c r="Q2">
        <f>SQRT(H2)*P2</f>
        <v>-2.3356222550470571</v>
      </c>
      <c r="R2">
        <f>2*(1-_xlfn.NORM.S.DIST(ABS(Q2),TRUE))</f>
        <v>1.9510937644194648E-2</v>
      </c>
    </row>
    <row r="3" spans="1:18" x14ac:dyDescent="0.35">
      <c r="A3" s="1">
        <v>5106243</v>
      </c>
      <c r="B3" s="1">
        <v>15</v>
      </c>
      <c r="C3" s="2">
        <v>0.66666666666666596</v>
      </c>
      <c r="D3" s="1">
        <v>39</v>
      </c>
      <c r="E3" s="2">
        <v>0.56410256410256399</v>
      </c>
      <c r="F3" s="1">
        <v>98</v>
      </c>
      <c r="G3" s="2">
        <v>0.56122448979591799</v>
      </c>
      <c r="H3" s="1">
        <v>218</v>
      </c>
      <c r="I3" s="2">
        <v>0.490825688073394</v>
      </c>
      <c r="J3" s="1">
        <v>97</v>
      </c>
      <c r="K3" s="2">
        <v>0.432989690721649</v>
      </c>
      <c r="L3" s="1">
        <v>34</v>
      </c>
      <c r="M3" s="2">
        <v>0.47058823529411697</v>
      </c>
      <c r="N3" s="1">
        <v>12</v>
      </c>
      <c r="O3" s="2">
        <v>0.58333333333333304</v>
      </c>
      <c r="P3">
        <f t="shared" ref="P3:P18" si="0">((K3*I3)-(I3*I3))/(I3*(1-I3))</f>
        <v>-0.1135878146187423</v>
      </c>
      <c r="Q3">
        <f t="shared" ref="Q3:Q18" si="1">SQRT(H3)*P3</f>
        <v>-1.677103984644323</v>
      </c>
      <c r="R3">
        <f t="shared" ref="R3:R18" si="2">2*(1-_xlfn.NORM.S.DIST(ABS(Q3),TRUE))</f>
        <v>9.3522149761463114E-2</v>
      </c>
    </row>
    <row r="4" spans="1:18" x14ac:dyDescent="0.35">
      <c r="A4" s="1">
        <v>5175900</v>
      </c>
      <c r="B4" s="1">
        <v>17</v>
      </c>
      <c r="C4" s="2">
        <v>0.58823529411764697</v>
      </c>
      <c r="D4" s="1">
        <v>36</v>
      </c>
      <c r="E4" s="2">
        <v>0.44444444444444398</v>
      </c>
      <c r="F4" s="1">
        <v>86</v>
      </c>
      <c r="G4" s="2">
        <v>0.53488372093023195</v>
      </c>
      <c r="H4" s="1">
        <v>210</v>
      </c>
      <c r="I4" s="2">
        <v>0.54285714285714204</v>
      </c>
      <c r="J4" s="1">
        <v>105</v>
      </c>
      <c r="K4" s="2">
        <v>0.56190476190476102</v>
      </c>
      <c r="L4" s="1">
        <v>53</v>
      </c>
      <c r="M4" s="2">
        <v>0.52830188679245205</v>
      </c>
      <c r="N4" s="1">
        <v>27</v>
      </c>
      <c r="O4" s="2">
        <v>0.51851851851851805</v>
      </c>
      <c r="P4">
        <f t="shared" si="0"/>
        <v>4.166666666666656E-2</v>
      </c>
      <c r="Q4">
        <f t="shared" si="1"/>
        <v>0.6038073644245584</v>
      </c>
      <c r="R4">
        <f t="shared" si="2"/>
        <v>0.54597172267656013</v>
      </c>
    </row>
    <row r="5" spans="1:18" x14ac:dyDescent="0.35">
      <c r="A5" s="1">
        <v>5175898</v>
      </c>
      <c r="B5" s="1">
        <v>10</v>
      </c>
      <c r="C5" s="2">
        <v>0.4</v>
      </c>
      <c r="D5" s="1">
        <v>22</v>
      </c>
      <c r="E5" s="2">
        <v>0.31818181818181801</v>
      </c>
      <c r="F5" s="1">
        <v>54</v>
      </c>
      <c r="G5" s="2">
        <v>0.38888888888888801</v>
      </c>
      <c r="H5" s="1">
        <v>131</v>
      </c>
      <c r="I5" s="2">
        <v>0.465648854961832</v>
      </c>
      <c r="J5" s="1">
        <v>54</v>
      </c>
      <c r="K5" s="2">
        <v>0.53703703703703698</v>
      </c>
      <c r="L5" s="1">
        <v>26</v>
      </c>
      <c r="M5" s="2">
        <v>0.42307692307692302</v>
      </c>
      <c r="N5" s="1">
        <v>10</v>
      </c>
      <c r="O5" s="2">
        <v>0.3</v>
      </c>
      <c r="P5">
        <f t="shared" si="0"/>
        <v>0.13359788359788352</v>
      </c>
      <c r="Q5">
        <f t="shared" si="1"/>
        <v>1.5290976684764797</v>
      </c>
      <c r="R5">
        <f t="shared" si="2"/>
        <v>0.12624023327637635</v>
      </c>
    </row>
    <row r="6" spans="1:18" x14ac:dyDescent="0.35">
      <c r="A6" s="1">
        <v>5106245</v>
      </c>
      <c r="B6" s="1">
        <v>10</v>
      </c>
      <c r="C6" s="2">
        <v>0.5</v>
      </c>
      <c r="D6" s="1">
        <v>24</v>
      </c>
      <c r="E6" s="2">
        <v>0.41666666666666602</v>
      </c>
      <c r="F6" s="1">
        <v>57</v>
      </c>
      <c r="G6" s="2">
        <v>0.45614035087719201</v>
      </c>
      <c r="H6" s="1">
        <v>119</v>
      </c>
      <c r="I6" s="2">
        <v>0.42857142857142799</v>
      </c>
      <c r="J6" s="1">
        <v>42</v>
      </c>
      <c r="K6" s="2">
        <v>0.40476190476190399</v>
      </c>
      <c r="L6" s="1">
        <v>13</v>
      </c>
      <c r="M6" s="2">
        <v>0.30769230769230699</v>
      </c>
      <c r="N6" s="1">
        <v>4</v>
      </c>
      <c r="O6" s="2">
        <v>0.25</v>
      </c>
      <c r="P6">
        <f t="shared" si="0"/>
        <v>-4.1666666666666949E-2</v>
      </c>
      <c r="Q6">
        <f t="shared" si="1"/>
        <v>-0.45452967144315781</v>
      </c>
      <c r="R6">
        <f t="shared" si="2"/>
        <v>0.64944764086358675</v>
      </c>
    </row>
    <row r="7" spans="1:18" x14ac:dyDescent="0.35">
      <c r="A7" s="1">
        <v>5176404</v>
      </c>
      <c r="B7" s="1">
        <v>3</v>
      </c>
      <c r="C7" s="2">
        <v>0</v>
      </c>
      <c r="D7" s="1">
        <v>10</v>
      </c>
      <c r="E7" s="2">
        <v>0.4</v>
      </c>
      <c r="F7" s="1">
        <v>35</v>
      </c>
      <c r="G7" s="2">
        <v>0.51428571428571401</v>
      </c>
      <c r="H7" s="1">
        <v>86</v>
      </c>
      <c r="I7" s="2">
        <v>0.47674418604651098</v>
      </c>
      <c r="J7" s="1">
        <v>29</v>
      </c>
      <c r="K7" s="2">
        <v>0.48275862068965503</v>
      </c>
      <c r="L7" s="1">
        <v>9</v>
      </c>
      <c r="M7" s="2">
        <v>0.55555555555555503</v>
      </c>
      <c r="N7" s="1">
        <v>1</v>
      </c>
      <c r="O7" s="2">
        <v>0</v>
      </c>
      <c r="P7">
        <f t="shared" si="0"/>
        <v>1.149425287356423E-2</v>
      </c>
      <c r="Q7">
        <f t="shared" si="1"/>
        <v>0.10659331604018989</v>
      </c>
      <c r="R7">
        <f t="shared" si="2"/>
        <v>0.9151116214009325</v>
      </c>
    </row>
    <row r="8" spans="1:18" x14ac:dyDescent="0.35">
      <c r="A8" s="1">
        <v>4684840</v>
      </c>
      <c r="B8" s="1">
        <v>6</v>
      </c>
      <c r="C8" s="2">
        <v>0.5</v>
      </c>
      <c r="D8" s="1">
        <v>15</v>
      </c>
      <c r="E8" s="2">
        <v>0.53333333333333299</v>
      </c>
      <c r="F8" s="1">
        <v>33</v>
      </c>
      <c r="G8" s="2">
        <v>0.36363636363636298</v>
      </c>
      <c r="H8" s="1">
        <v>75</v>
      </c>
      <c r="I8" s="2">
        <v>0.413333333333333</v>
      </c>
      <c r="J8" s="1">
        <v>21</v>
      </c>
      <c r="K8" s="2">
        <v>0.52380952380952295</v>
      </c>
      <c r="L8" s="1">
        <v>8</v>
      </c>
      <c r="M8" s="2">
        <v>0.5</v>
      </c>
      <c r="N8" s="1">
        <v>3</v>
      </c>
      <c r="O8" s="2">
        <v>0.66666666666666596</v>
      </c>
      <c r="P8">
        <f t="shared" si="0"/>
        <v>0.18831168831168735</v>
      </c>
      <c r="Q8">
        <f t="shared" si="1"/>
        <v>1.6308270590745841</v>
      </c>
      <c r="R8">
        <f t="shared" si="2"/>
        <v>0.10292681611512444</v>
      </c>
    </row>
    <row r="9" spans="1:18" x14ac:dyDescent="0.35">
      <c r="A9" s="1">
        <v>5196671</v>
      </c>
      <c r="B9" s="1">
        <v>0</v>
      </c>
      <c r="C9" s="2">
        <v>0</v>
      </c>
      <c r="D9" s="1">
        <v>7</v>
      </c>
      <c r="E9" s="2">
        <v>0.42857142857142799</v>
      </c>
      <c r="F9" s="1">
        <v>18</v>
      </c>
      <c r="G9" s="2">
        <v>0.27777777777777701</v>
      </c>
      <c r="H9" s="1">
        <v>53</v>
      </c>
      <c r="I9" s="2">
        <v>0.41509433962264097</v>
      </c>
      <c r="J9" s="1">
        <v>16</v>
      </c>
      <c r="K9" s="2">
        <v>0.4375</v>
      </c>
      <c r="L9" s="1">
        <v>4</v>
      </c>
      <c r="M9" s="2">
        <v>0.5</v>
      </c>
      <c r="N9" s="1">
        <v>1</v>
      </c>
      <c r="O9" s="2">
        <v>0</v>
      </c>
      <c r="P9">
        <f t="shared" si="0"/>
        <v>3.8306451612904149E-2</v>
      </c>
      <c r="Q9">
        <f t="shared" si="1"/>
        <v>0.27887517721034916</v>
      </c>
      <c r="R9">
        <f t="shared" si="2"/>
        <v>0.78034061881764538</v>
      </c>
    </row>
    <row r="10" spans="1:18" x14ac:dyDescent="0.35">
      <c r="A10" s="1">
        <v>5241716</v>
      </c>
      <c r="B10" s="1">
        <v>0</v>
      </c>
      <c r="C10" s="2">
        <v>0</v>
      </c>
      <c r="D10" s="1">
        <v>1</v>
      </c>
      <c r="E10" s="2">
        <v>1</v>
      </c>
      <c r="F10" s="1">
        <v>11</v>
      </c>
      <c r="G10" s="2">
        <v>0.81818181818181801</v>
      </c>
      <c r="H10" s="1">
        <v>52</v>
      </c>
      <c r="I10" s="2">
        <v>0.69230769230769196</v>
      </c>
      <c r="J10" s="1">
        <v>28</v>
      </c>
      <c r="K10" s="2">
        <v>0.64285714285714202</v>
      </c>
      <c r="L10" s="1">
        <v>14</v>
      </c>
      <c r="M10" s="2">
        <v>0.64285714285714202</v>
      </c>
      <c r="N10" s="1">
        <v>6</v>
      </c>
      <c r="O10" s="2">
        <v>0.83333333333333304</v>
      </c>
      <c r="P10">
        <f t="shared" si="0"/>
        <v>-0.16071428571428706</v>
      </c>
      <c r="Q10">
        <f t="shared" si="1"/>
        <v>-1.1589271956848632</v>
      </c>
      <c r="R10">
        <f t="shared" si="2"/>
        <v>0.24648586243810144</v>
      </c>
    </row>
    <row r="11" spans="1:18" x14ac:dyDescent="0.35">
      <c r="A11" s="1">
        <v>5175897</v>
      </c>
      <c r="B11" s="1">
        <v>3</v>
      </c>
      <c r="C11" s="2">
        <v>0.33333333333333298</v>
      </c>
      <c r="D11" s="1">
        <v>7</v>
      </c>
      <c r="E11" s="2">
        <v>0.42857142857142799</v>
      </c>
      <c r="F11" s="1">
        <v>21</v>
      </c>
      <c r="G11" s="2">
        <v>0.57142857142857095</v>
      </c>
      <c r="H11" s="1">
        <v>52</v>
      </c>
      <c r="I11" s="2">
        <v>0.48076923076923</v>
      </c>
      <c r="J11" s="1">
        <v>16</v>
      </c>
      <c r="K11" s="2">
        <v>0.3125</v>
      </c>
      <c r="L11" s="1">
        <v>3</v>
      </c>
      <c r="M11" s="2">
        <v>0</v>
      </c>
      <c r="N11" s="1">
        <v>0</v>
      </c>
      <c r="O11" s="2">
        <v>0</v>
      </c>
      <c r="P11">
        <f t="shared" si="0"/>
        <v>-0.32407407407407202</v>
      </c>
      <c r="Q11">
        <f t="shared" si="1"/>
        <v>-2.3369313822451634</v>
      </c>
      <c r="R11">
        <f t="shared" si="2"/>
        <v>1.9442752261479068E-2</v>
      </c>
    </row>
    <row r="12" spans="1:18" x14ac:dyDescent="0.35">
      <c r="A12" s="1">
        <v>5241717</v>
      </c>
      <c r="B12" s="1">
        <v>3</v>
      </c>
      <c r="C12" s="2">
        <v>0.33333333333333298</v>
      </c>
      <c r="D12" s="1">
        <v>9</v>
      </c>
      <c r="E12" s="2">
        <v>0.44444444444444398</v>
      </c>
      <c r="F12" s="1">
        <v>19</v>
      </c>
      <c r="G12" s="2">
        <v>0.42105263157894701</v>
      </c>
      <c r="H12" s="1">
        <v>50</v>
      </c>
      <c r="I12" s="2">
        <v>0.48</v>
      </c>
      <c r="J12" s="1">
        <v>18</v>
      </c>
      <c r="K12" s="2">
        <v>0.5</v>
      </c>
      <c r="L12" s="1">
        <v>6</v>
      </c>
      <c r="M12" s="2">
        <v>0.5</v>
      </c>
      <c r="N12" s="1">
        <v>1</v>
      </c>
      <c r="O12" s="2">
        <v>1</v>
      </c>
      <c r="P12">
        <f t="shared" si="0"/>
        <v>3.846153846153845E-2</v>
      </c>
      <c r="Q12">
        <f t="shared" si="1"/>
        <v>0.27196414661021051</v>
      </c>
      <c r="R12">
        <f t="shared" si="2"/>
        <v>0.78564958745417446</v>
      </c>
    </row>
    <row r="13" spans="1:18" x14ac:dyDescent="0.35">
      <c r="A13" s="1">
        <v>5241718</v>
      </c>
      <c r="B13" s="1">
        <v>0</v>
      </c>
      <c r="C13" s="2">
        <v>0</v>
      </c>
      <c r="D13" s="1">
        <v>1</v>
      </c>
      <c r="E13" s="2">
        <v>1</v>
      </c>
      <c r="F13" s="1">
        <v>7</v>
      </c>
      <c r="G13" s="2">
        <v>0.85714285714285698</v>
      </c>
      <c r="H13" s="1">
        <v>44</v>
      </c>
      <c r="I13" s="2">
        <v>0.65909090909090895</v>
      </c>
      <c r="J13" s="1">
        <v>22</v>
      </c>
      <c r="K13" s="2">
        <v>0.54545454545454497</v>
      </c>
      <c r="L13" s="1">
        <v>7</v>
      </c>
      <c r="M13" s="2">
        <v>0.57142857142857095</v>
      </c>
      <c r="N13" s="1">
        <v>1</v>
      </c>
      <c r="O13" s="2">
        <v>1</v>
      </c>
      <c r="P13">
        <f t="shared" si="0"/>
        <v>-0.33333333333333431</v>
      </c>
      <c r="Q13">
        <f t="shared" si="1"/>
        <v>-2.2110831935702731</v>
      </c>
      <c r="R13">
        <f t="shared" si="2"/>
        <v>2.7030076547772008E-2</v>
      </c>
    </row>
    <row r="14" spans="1:18" x14ac:dyDescent="0.35">
      <c r="A14" s="1">
        <v>5313688</v>
      </c>
      <c r="B14" s="1">
        <v>0</v>
      </c>
      <c r="C14" s="2">
        <v>0</v>
      </c>
      <c r="D14" s="1">
        <v>0</v>
      </c>
      <c r="E14" s="2">
        <v>0</v>
      </c>
      <c r="F14" s="1">
        <v>4</v>
      </c>
      <c r="G14" s="2">
        <v>1</v>
      </c>
      <c r="H14" s="1">
        <v>26</v>
      </c>
      <c r="I14" s="2">
        <v>0.69230769230769196</v>
      </c>
      <c r="J14" s="1">
        <v>11</v>
      </c>
      <c r="K14" s="2">
        <v>0.72727272727272696</v>
      </c>
      <c r="L14" s="1">
        <v>4</v>
      </c>
      <c r="M14" s="2">
        <v>0.5</v>
      </c>
      <c r="N14" s="1">
        <v>1</v>
      </c>
      <c r="O14" s="2">
        <v>0</v>
      </c>
      <c r="P14">
        <f t="shared" si="0"/>
        <v>0.11363636363636349</v>
      </c>
      <c r="Q14">
        <f t="shared" si="1"/>
        <v>0.57943403563554297</v>
      </c>
      <c r="R14">
        <f t="shared" si="2"/>
        <v>0.56229634409115903</v>
      </c>
    </row>
    <row r="15" spans="1:18" x14ac:dyDescent="0.35">
      <c r="A15" s="1">
        <v>5313690</v>
      </c>
      <c r="B15" s="1">
        <v>5</v>
      </c>
      <c r="C15" s="2">
        <v>0.4</v>
      </c>
      <c r="D15" s="1">
        <v>8</v>
      </c>
      <c r="E15" s="2">
        <v>0.375</v>
      </c>
      <c r="F15" s="1">
        <v>11</v>
      </c>
      <c r="G15" s="2">
        <v>0.27272727272727199</v>
      </c>
      <c r="H15" s="1">
        <v>24</v>
      </c>
      <c r="I15" s="2">
        <v>0.45833333333333298</v>
      </c>
      <c r="J15" s="1">
        <v>6</v>
      </c>
      <c r="K15" s="2">
        <v>0.66666666666666596</v>
      </c>
      <c r="L15" s="1">
        <v>2</v>
      </c>
      <c r="M15" s="2">
        <v>0.5</v>
      </c>
      <c r="N15" s="1">
        <v>0</v>
      </c>
      <c r="O15" s="2">
        <v>0</v>
      </c>
      <c r="P15">
        <f t="shared" si="0"/>
        <v>0.38461538461538386</v>
      </c>
      <c r="Q15">
        <f t="shared" si="1"/>
        <v>1.8842228790639792</v>
      </c>
      <c r="R15">
        <f t="shared" si="2"/>
        <v>5.9534834058263097E-2</v>
      </c>
    </row>
    <row r="16" spans="1:18" x14ac:dyDescent="0.35">
      <c r="A16" s="1">
        <v>5313691</v>
      </c>
      <c r="B16" s="1">
        <v>4</v>
      </c>
      <c r="C16" s="2">
        <v>0.25</v>
      </c>
      <c r="D16" s="1">
        <v>7</v>
      </c>
      <c r="E16" s="2">
        <v>0.28571428571428498</v>
      </c>
      <c r="F16" s="1">
        <v>11</v>
      </c>
      <c r="G16" s="2">
        <v>0.27272727272727199</v>
      </c>
      <c r="H16" s="1">
        <v>19</v>
      </c>
      <c r="I16" s="2">
        <v>0.26315789473684198</v>
      </c>
      <c r="J16" s="1">
        <v>4</v>
      </c>
      <c r="K16" s="2">
        <v>0.5</v>
      </c>
      <c r="L16" s="1">
        <v>1</v>
      </c>
      <c r="M16" s="2">
        <v>0</v>
      </c>
      <c r="N16" s="1">
        <v>0</v>
      </c>
      <c r="O16" s="2">
        <v>0</v>
      </c>
      <c r="P16">
        <f t="shared" si="0"/>
        <v>0.32142857142857156</v>
      </c>
      <c r="Q16">
        <f t="shared" si="1"/>
        <v>1.4010746604237887</v>
      </c>
      <c r="R16">
        <f t="shared" si="2"/>
        <v>0.16119174813201398</v>
      </c>
    </row>
    <row r="17" spans="1:18" x14ac:dyDescent="0.35">
      <c r="A17" s="1">
        <v>5241719</v>
      </c>
      <c r="B17" s="1">
        <v>0</v>
      </c>
      <c r="C17" s="2">
        <v>0</v>
      </c>
      <c r="D17" s="1">
        <v>1</v>
      </c>
      <c r="E17" s="2">
        <v>1</v>
      </c>
      <c r="F17" s="1">
        <v>3</v>
      </c>
      <c r="G17" s="2">
        <v>0.33333333333333298</v>
      </c>
      <c r="H17" s="1">
        <v>9</v>
      </c>
      <c r="I17" s="2">
        <v>0.44444444444444398</v>
      </c>
      <c r="J17" s="1">
        <v>3</v>
      </c>
      <c r="K17" s="2">
        <v>0.33333333333333298</v>
      </c>
      <c r="L17" s="1">
        <v>1</v>
      </c>
      <c r="M17" s="2">
        <v>0</v>
      </c>
      <c r="N17" s="1">
        <v>0</v>
      </c>
      <c r="O17" s="2">
        <v>0</v>
      </c>
      <c r="P17">
        <f t="shared" si="0"/>
        <v>-0.19999999999999957</v>
      </c>
      <c r="Q17">
        <f t="shared" si="1"/>
        <v>-0.59999999999999876</v>
      </c>
      <c r="R17">
        <f t="shared" si="2"/>
        <v>0.54850623550014799</v>
      </c>
    </row>
    <row r="18" spans="1:18" x14ac:dyDescent="0.35">
      <c r="A18" s="1">
        <v>5174972</v>
      </c>
      <c r="B18" s="1">
        <v>0</v>
      </c>
      <c r="C18" s="2">
        <v>0</v>
      </c>
      <c r="D18" s="1">
        <v>1</v>
      </c>
      <c r="E18" s="2">
        <v>0</v>
      </c>
      <c r="F18" s="1">
        <v>2</v>
      </c>
      <c r="G18" s="2">
        <v>0</v>
      </c>
      <c r="H18" s="1">
        <v>9</v>
      </c>
      <c r="I18" s="2">
        <v>0.33333333333333298</v>
      </c>
      <c r="J18" s="1">
        <v>1</v>
      </c>
      <c r="K18" s="2">
        <v>0</v>
      </c>
      <c r="L18" s="1">
        <v>0</v>
      </c>
      <c r="M18" s="2">
        <v>0</v>
      </c>
      <c r="N18" s="1">
        <v>0</v>
      </c>
      <c r="O18" s="2">
        <v>0</v>
      </c>
      <c r="P18">
        <f t="shared" si="0"/>
        <v>-0.49999999999999922</v>
      </c>
      <c r="Q18">
        <f t="shared" si="1"/>
        <v>-1.4999999999999978</v>
      </c>
      <c r="R18">
        <f t="shared" si="2"/>
        <v>0.13361440253771661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E2FC-204A-4D35-BA87-1558E3D399BA}">
  <dimension ref="A1:U18"/>
  <sheetViews>
    <sheetView tabSelected="1" workbookViewId="0">
      <selection activeCell="I3" sqref="I3"/>
    </sheetView>
  </sheetViews>
  <sheetFormatPr defaultRowHeight="14.5" x14ac:dyDescent="0.35"/>
  <cols>
    <col min="16" max="16" width="8.7265625" style="5"/>
    <col min="19" max="19" width="12.26953125" bestFit="1" customWidth="1"/>
  </cols>
  <sheetData>
    <row r="1" spans="1:21" x14ac:dyDescent="0.35">
      <c r="A1" s="1" t="s">
        <v>0</v>
      </c>
      <c r="B1" s="1" t="s">
        <v>3</v>
      </c>
      <c r="C1" s="2" t="s">
        <v>4</v>
      </c>
      <c r="D1" s="1" t="s">
        <v>5</v>
      </c>
      <c r="E1" s="2" t="s">
        <v>6</v>
      </c>
      <c r="F1" s="1" t="s">
        <v>7</v>
      </c>
      <c r="G1" s="2" t="s">
        <v>8</v>
      </c>
      <c r="H1" s="1" t="s">
        <v>1</v>
      </c>
      <c r="I1" s="2" t="s">
        <v>2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5" t="s">
        <v>15</v>
      </c>
      <c r="Q1" t="s">
        <v>17</v>
      </c>
      <c r="R1" t="s">
        <v>16</v>
      </c>
      <c r="S1" t="s">
        <v>18</v>
      </c>
      <c r="T1" t="s">
        <v>19</v>
      </c>
      <c r="U1" t="s">
        <v>20</v>
      </c>
    </row>
    <row r="2" spans="1:21" x14ac:dyDescent="0.35">
      <c r="A2" s="1">
        <v>5106247</v>
      </c>
      <c r="B2" s="1">
        <v>16</v>
      </c>
      <c r="C2" s="2">
        <v>0.5625</v>
      </c>
      <c r="D2" s="1">
        <v>47</v>
      </c>
      <c r="E2" s="2">
        <v>0.61702127659574402</v>
      </c>
      <c r="F2" s="1">
        <v>119</v>
      </c>
      <c r="G2" s="2">
        <v>0.56000000000000005</v>
      </c>
      <c r="H2" s="3">
        <v>248</v>
      </c>
      <c r="I2" s="4">
        <v>0.5</v>
      </c>
      <c r="J2" s="1">
        <v>137</v>
      </c>
      <c r="K2" s="4">
        <v>0.49</v>
      </c>
      <c r="L2" s="1">
        <v>56</v>
      </c>
      <c r="M2" s="2">
        <v>0.46428571428571402</v>
      </c>
      <c r="N2" s="1">
        <v>24</v>
      </c>
      <c r="O2" s="2">
        <v>0.375</v>
      </c>
      <c r="P2" s="5">
        <f>((K2*I2)-(I2*I2))/(I2*(1-I2))</f>
        <v>-2.0000000000000018E-2</v>
      </c>
      <c r="Q2">
        <f>SQRT(H2)*P2</f>
        <v>-0.31496031496047272</v>
      </c>
      <c r="R2">
        <f>2*(1-_xlfn.NORM.S.DIST(ABS(Q2),TRUE))</f>
        <v>0.75279178553202297</v>
      </c>
      <c r="S2">
        <f>1+2*(H2-1)*I2*(1-I2)</f>
        <v>124.5</v>
      </c>
      <c r="T2">
        <f>SQRT(2*I2*(1-I2)*(2*H2-3-2*I2*(1-I2)*(3*H2-5)))</f>
        <v>7.8581168227508558</v>
      </c>
      <c r="U2">
        <f>(128-S2)/T2</f>
        <v>0.44539933408304444</v>
      </c>
    </row>
    <row r="3" spans="1:21" x14ac:dyDescent="0.35">
      <c r="A3" s="1">
        <v>5106247</v>
      </c>
      <c r="B3" s="1">
        <v>16</v>
      </c>
      <c r="C3" s="2">
        <v>0.5625</v>
      </c>
      <c r="D3" s="1">
        <v>47</v>
      </c>
      <c r="E3" s="2">
        <v>0.61702127659574402</v>
      </c>
      <c r="F3" s="1">
        <v>119</v>
      </c>
      <c r="G3" s="2">
        <v>0.51</v>
      </c>
      <c r="H3" s="3">
        <v>884</v>
      </c>
      <c r="I3" s="4">
        <v>0.52</v>
      </c>
      <c r="J3" s="1">
        <v>137</v>
      </c>
      <c r="K3" s="4">
        <v>0.53</v>
      </c>
      <c r="L3" s="1">
        <v>56</v>
      </c>
      <c r="M3" s="2">
        <v>0.46428571428571402</v>
      </c>
      <c r="N3" s="1">
        <v>24</v>
      </c>
      <c r="O3" s="2">
        <v>0.375</v>
      </c>
      <c r="P3" s="5">
        <f>((K3*I3)-(I3*I3))/(I3*(1-I3))</f>
        <v>2.0833333333333263E-2</v>
      </c>
      <c r="Q3">
        <f>SQRT(H3)*P3</f>
        <v>0.61941953113826898</v>
      </c>
      <c r="R3">
        <f>2*(1-_xlfn.NORM.S.DIST(ABS(Q3),TRUE))</f>
        <v>0.53564001777105474</v>
      </c>
      <c r="S3">
        <f>1+2*(H3-1)*I3*(1-I3)</f>
        <v>441.79360000000003</v>
      </c>
      <c r="T3">
        <f>SQRT(2*I3*(1-I3)*(2*H3-3-2*I3*(1-I3)*(3*H3-5)))</f>
        <v>14.881327424662089</v>
      </c>
    </row>
    <row r="4" spans="1:21" x14ac:dyDescent="0.35">
      <c r="A4" s="1"/>
      <c r="B4" s="1"/>
      <c r="C4" s="2"/>
      <c r="D4" s="1"/>
      <c r="E4" s="2"/>
      <c r="F4" s="1"/>
      <c r="G4" s="2">
        <v>0.46</v>
      </c>
      <c r="H4" s="3">
        <v>419</v>
      </c>
      <c r="I4" s="4">
        <v>0.46</v>
      </c>
      <c r="J4" s="1">
        <v>137</v>
      </c>
      <c r="K4" s="4">
        <v>0.46</v>
      </c>
      <c r="L4" s="1">
        <v>56</v>
      </c>
      <c r="M4" s="2">
        <v>0.46428571428571402</v>
      </c>
      <c r="N4" s="1">
        <v>24</v>
      </c>
      <c r="O4" s="2">
        <v>0.375</v>
      </c>
      <c r="P4" s="5">
        <f>((K4*I4)-(I4*I4))/(I4*(1-I4))</f>
        <v>0</v>
      </c>
      <c r="Q4">
        <f>SQRT(H4)*P4</f>
        <v>0</v>
      </c>
      <c r="R4">
        <f>2*(1-_xlfn.NORM.S.DIST(ABS(Q4),TRUE))</f>
        <v>1</v>
      </c>
      <c r="S4">
        <f>1+2*(H4-1)*I4*(1-I4)</f>
        <v>208.66240000000002</v>
      </c>
      <c r="T4">
        <f>SQRT(2*I4*(1-I4)*(2*H4-3-2*I4*(1-I4)*(3*H4-5)))</f>
        <v>10.286961627225017</v>
      </c>
    </row>
    <row r="5" spans="1:21" x14ac:dyDescent="0.35">
      <c r="A5" s="1"/>
      <c r="B5" s="1"/>
      <c r="C5" s="2"/>
      <c r="D5" s="1"/>
      <c r="E5" s="2"/>
      <c r="F5" s="1"/>
      <c r="G5" s="2">
        <v>0.6</v>
      </c>
      <c r="H5" s="3">
        <v>339</v>
      </c>
      <c r="I5" s="4">
        <v>0.56000000000000005</v>
      </c>
      <c r="J5" s="1">
        <v>137</v>
      </c>
      <c r="K5" s="4">
        <v>0.55000000000000004</v>
      </c>
      <c r="L5" s="1">
        <v>56</v>
      </c>
      <c r="M5" s="2">
        <v>0.46428571428571402</v>
      </c>
      <c r="N5" s="1">
        <v>24</v>
      </c>
      <c r="O5" s="2">
        <v>0.375</v>
      </c>
      <c r="P5" s="5">
        <f>((K5*I5)-(I5*I5))/(I5*(1-I5))</f>
        <v>-2.2727272727272704E-2</v>
      </c>
      <c r="Q5">
        <f>SQRT(H5)*P5</f>
        <v>-0.41845346908004427</v>
      </c>
      <c r="R5">
        <f>2*(1-_xlfn.NORM.S.DIST(ABS(Q5),TRUE))</f>
        <v>0.67561560027995626</v>
      </c>
      <c r="S5">
        <f>1+2*(H5-1)*I5*(1-I5)</f>
        <v>167.56640000000002</v>
      </c>
      <c r="T5">
        <f>SQRT(2*I5*(1-I5)*(2*H5-3-2*I5*(1-I5)*(3*H5-5)))</f>
        <v>9.3206189665708354</v>
      </c>
    </row>
    <row r="6" spans="1:21" x14ac:dyDescent="0.35">
      <c r="A6" s="1"/>
      <c r="B6" s="1"/>
      <c r="C6" s="2"/>
      <c r="D6" s="1"/>
      <c r="E6" s="2"/>
      <c r="F6" s="1"/>
      <c r="G6" s="2">
        <v>0.47</v>
      </c>
      <c r="H6" s="3">
        <v>272</v>
      </c>
      <c r="I6" s="2">
        <v>0.47</v>
      </c>
      <c r="J6" s="1"/>
      <c r="K6" s="2">
        <v>0.45</v>
      </c>
      <c r="L6" s="1"/>
      <c r="M6" s="2"/>
      <c r="N6" s="1"/>
      <c r="O6" s="2"/>
      <c r="P6" s="5">
        <f>((K6*I6)-(I6*I6))/(I6*(1-I6))</f>
        <v>-3.7735849056603744E-2</v>
      </c>
      <c r="Q6">
        <f>SQRT(H6)*P6</f>
        <v>-0.62235556613096721</v>
      </c>
      <c r="R6">
        <f>2*(1-_xlfn.NORM.S.DIST(ABS(Q6),TRUE))</f>
        <v>0.53370809109679063</v>
      </c>
      <c r="S6">
        <f>1+2*(H6-1)*I6*(1-I6)</f>
        <v>136.01220000000001</v>
      </c>
      <c r="T6">
        <f>SQRT(2*I6*(1-I6)*(2*H6-3-2*I6*(1-I6)*(3*H6-5)))</f>
        <v>8.2603494090746565</v>
      </c>
    </row>
    <row r="7" spans="1:21" x14ac:dyDescent="0.35">
      <c r="A7" s="1"/>
      <c r="B7" s="1"/>
      <c r="C7" s="2"/>
      <c r="D7" s="1"/>
      <c r="E7" s="2"/>
      <c r="F7" s="1"/>
      <c r="G7" s="2">
        <v>0.51</v>
      </c>
      <c r="H7" s="3">
        <v>451</v>
      </c>
      <c r="I7" s="2">
        <v>0.46</v>
      </c>
      <c r="J7" s="1"/>
      <c r="K7" s="2">
        <v>0.43</v>
      </c>
      <c r="L7" s="1"/>
      <c r="M7" s="2"/>
      <c r="N7" s="1"/>
      <c r="O7" s="2"/>
      <c r="P7" s="5">
        <f>((K7*I7)-(I7*I7))/(I7*(1-I7))</f>
        <v>-5.5555555555555573E-2</v>
      </c>
      <c r="Q7">
        <f>SQRT(H7)*P7</f>
        <v>-1.1798200323108505</v>
      </c>
      <c r="R7">
        <f>2*(1-_xlfn.NORM.S.DIST(ABS(Q7),TRUE))</f>
        <v>0.2380718003828648</v>
      </c>
      <c r="S7">
        <f>1+2*(H7-1)*I7*(1-I7)</f>
        <v>224.56</v>
      </c>
      <c r="T7">
        <f>SQRT(2*I7*(1-I7)*(2*H7-3-2*I7*(1-I7)*(3*H7-5)))</f>
        <v>10.673471622672729</v>
      </c>
    </row>
    <row r="8" spans="1:21" x14ac:dyDescent="0.35">
      <c r="A8" s="1"/>
      <c r="B8" s="1"/>
      <c r="C8" s="2"/>
      <c r="D8" s="1"/>
      <c r="E8" s="2"/>
      <c r="F8" s="1"/>
      <c r="G8" s="2">
        <v>0.57999999999999996</v>
      </c>
      <c r="H8" s="3">
        <v>433</v>
      </c>
      <c r="I8" s="2">
        <v>0.54</v>
      </c>
      <c r="J8" s="1"/>
      <c r="K8" s="2">
        <v>0.53</v>
      </c>
      <c r="L8" s="1"/>
      <c r="M8" s="2"/>
      <c r="N8" s="1"/>
      <c r="O8" s="2"/>
      <c r="P8" s="5">
        <f>((K8*I8)-(I8*I8))/(I8*(1-I8))</f>
        <v>-2.1739130434782671E-2</v>
      </c>
      <c r="Q8">
        <f>SQRT(H8)*P8</f>
        <v>-0.45236200101488855</v>
      </c>
      <c r="R8">
        <f>2*(1-_xlfn.NORM.S.DIST(ABS(Q8),TRUE))</f>
        <v>0.6510082168640392</v>
      </c>
      <c r="S8">
        <f>1+2*(H8-1)*I8*(1-I8)</f>
        <v>215.61760000000001</v>
      </c>
      <c r="T8">
        <f>SQRT(2*I8*(1-I8)*(2*H8-3-2*I8*(1-I8)*(3*H8-5)))</f>
        <v>10.457817623194622</v>
      </c>
    </row>
    <row r="9" spans="1:21" x14ac:dyDescent="0.35">
      <c r="A9" s="1"/>
      <c r="B9" s="1"/>
      <c r="C9" s="2"/>
      <c r="D9" s="1"/>
      <c r="E9" s="2"/>
      <c r="F9" s="1"/>
      <c r="G9" s="2">
        <v>0.52</v>
      </c>
      <c r="H9" s="3">
        <v>351</v>
      </c>
      <c r="I9" s="2">
        <v>0.52</v>
      </c>
      <c r="J9" s="1"/>
      <c r="K9" s="2">
        <v>0.51</v>
      </c>
      <c r="L9" s="1"/>
      <c r="M9" s="2"/>
      <c r="N9" s="1"/>
      <c r="O9" s="2"/>
      <c r="P9" s="5">
        <f>((K9*I9)-(I9*I9))/(I9*(1-I9))</f>
        <v>-2.0833333333333485E-2</v>
      </c>
      <c r="Q9">
        <f>SQRT(H9)*P9</f>
        <v>-0.39031237489990267</v>
      </c>
      <c r="R9">
        <f>2*(1-_xlfn.NORM.S.DIST(ABS(Q9),TRUE))</f>
        <v>0.69630557370474255</v>
      </c>
      <c r="S9">
        <f>1+2*(H9-1)*I9*(1-I9)</f>
        <v>175.72</v>
      </c>
      <c r="T9">
        <f>SQRT(2*I9*(1-I9)*(2*H9-3-2*I9*(1-I9)*(3*H9-5)))</f>
        <v>9.369019654158059</v>
      </c>
    </row>
    <row r="10" spans="1:21" x14ac:dyDescent="0.35">
      <c r="A10" s="1"/>
      <c r="B10" s="1"/>
      <c r="C10" s="2"/>
      <c r="D10" s="1"/>
      <c r="E10" s="2"/>
      <c r="F10" s="1"/>
      <c r="G10" s="2">
        <v>0.71</v>
      </c>
      <c r="H10" s="3">
        <v>403</v>
      </c>
      <c r="I10" s="2">
        <v>0.62</v>
      </c>
      <c r="J10" s="1"/>
      <c r="K10" s="2">
        <v>0.56999999999999995</v>
      </c>
      <c r="L10" s="1"/>
      <c r="M10" s="2"/>
      <c r="N10" s="1"/>
      <c r="O10" s="2"/>
      <c r="P10" s="5">
        <f>((K10*I10)-(I10*I10))/(I10*(1-I10))</f>
        <v>-0.13157894736842116</v>
      </c>
      <c r="Q10">
        <f>SQRT(H10)*P10</f>
        <v>-2.6414289341953614</v>
      </c>
      <c r="R10">
        <f>2*(1-_xlfn.NORM.S.DIST(ABS(Q10),TRUE))</f>
        <v>8.2557124925153325E-3</v>
      </c>
      <c r="S10">
        <f>1+2*(H10-1)*I10*(1-I10)</f>
        <v>190.42240000000001</v>
      </c>
      <c r="T10">
        <f>SQRT(2*I10*(1-I10)*(2*H10-3-2*I10*(1-I10)*(3*H10-5)))</f>
        <v>10.538033698940236</v>
      </c>
    </row>
    <row r="11" spans="1:21" x14ac:dyDescent="0.35">
      <c r="A11" s="1"/>
      <c r="B11" s="1"/>
      <c r="C11" s="2"/>
      <c r="D11" s="1"/>
      <c r="E11" s="2"/>
      <c r="F11" s="1"/>
      <c r="G11" s="2"/>
      <c r="H11" s="1"/>
      <c r="I11" s="2"/>
      <c r="J11" s="1"/>
      <c r="K11" s="2"/>
      <c r="L11" s="1"/>
      <c r="M11" s="2"/>
      <c r="N11" s="1"/>
      <c r="O11" s="2"/>
    </row>
    <row r="12" spans="1:21" x14ac:dyDescent="0.35">
      <c r="A12" s="1"/>
      <c r="B12" s="1"/>
      <c r="C12" s="2"/>
      <c r="D12" s="1"/>
      <c r="E12" s="2"/>
      <c r="F12" s="1"/>
      <c r="G12" s="2"/>
      <c r="H12" s="1"/>
      <c r="I12" s="2"/>
      <c r="J12" s="1"/>
      <c r="K12" s="2"/>
      <c r="L12" s="1"/>
      <c r="M12" s="2"/>
      <c r="N12" s="1"/>
      <c r="O12" s="2"/>
    </row>
    <row r="13" spans="1:21" x14ac:dyDescent="0.35">
      <c r="A13" s="1"/>
      <c r="B13" s="1"/>
      <c r="C13" s="2"/>
      <c r="D13" s="1"/>
      <c r="E13" s="2"/>
      <c r="F13" s="1"/>
      <c r="G13" s="2"/>
      <c r="H13" s="1"/>
      <c r="I13" s="2"/>
      <c r="J13" s="1"/>
      <c r="K13" s="2"/>
      <c r="L13" s="1"/>
      <c r="M13" s="2"/>
      <c r="N13" s="1"/>
      <c r="O13" s="2"/>
    </row>
    <row r="14" spans="1:21" x14ac:dyDescent="0.35">
      <c r="A14" s="1"/>
      <c r="B14" s="1"/>
      <c r="C14" s="2"/>
      <c r="D14" s="1"/>
      <c r="E14" s="2"/>
      <c r="F14" s="1"/>
      <c r="G14" s="2"/>
      <c r="H14" s="1"/>
      <c r="I14" s="2"/>
      <c r="J14" s="1"/>
      <c r="K14" s="2"/>
      <c r="L14" s="1"/>
      <c r="M14" s="2"/>
      <c r="N14" s="1"/>
      <c r="O14" s="2"/>
    </row>
    <row r="15" spans="1:21" x14ac:dyDescent="0.35">
      <c r="A15" s="1"/>
      <c r="B15" s="1"/>
      <c r="C15" s="2"/>
      <c r="D15" s="1"/>
      <c r="E15" s="2"/>
      <c r="F15" s="1"/>
      <c r="G15" s="2"/>
      <c r="H15" s="1"/>
      <c r="I15" s="2"/>
      <c r="J15" s="1"/>
      <c r="K15" s="2"/>
      <c r="L15" s="1"/>
      <c r="M15" s="2"/>
      <c r="N15" s="1"/>
      <c r="O15" s="2"/>
    </row>
    <row r="16" spans="1:21" x14ac:dyDescent="0.35">
      <c r="A16" s="1"/>
      <c r="B16" s="1"/>
      <c r="C16" s="2"/>
      <c r="D16" s="1"/>
      <c r="E16" s="2"/>
      <c r="F16" s="1"/>
      <c r="G16" s="2"/>
      <c r="H16" s="1"/>
      <c r="I16" s="2"/>
      <c r="J16" s="1"/>
      <c r="K16" s="2"/>
      <c r="L16" s="1"/>
      <c r="M16" s="2"/>
      <c r="N16" s="1"/>
      <c r="O16" s="2"/>
    </row>
    <row r="17" spans="1:15" x14ac:dyDescent="0.35">
      <c r="A17" s="1"/>
      <c r="B17" s="1"/>
      <c r="C17" s="2"/>
      <c r="D17" s="1"/>
      <c r="E17" s="2"/>
      <c r="F17" s="1"/>
      <c r="G17" s="2"/>
      <c r="H17" s="1"/>
      <c r="I17" s="2"/>
      <c r="J17" s="1"/>
      <c r="K17" s="2"/>
      <c r="L17" s="1"/>
      <c r="M17" s="2"/>
      <c r="N17" s="1"/>
      <c r="O17" s="2"/>
    </row>
    <row r="18" spans="1:15" x14ac:dyDescent="0.35">
      <c r="A18" s="1"/>
      <c r="B18" s="1"/>
      <c r="C18" s="2"/>
      <c r="D18" s="1"/>
      <c r="E18" s="2"/>
      <c r="F18" s="1"/>
      <c r="G18" s="2"/>
      <c r="H18" s="1"/>
      <c r="I18" s="2"/>
      <c r="J18" s="1"/>
      <c r="K18" s="2"/>
      <c r="L18" s="1"/>
      <c r="M18" s="2"/>
      <c r="N18" s="1"/>
      <c r="O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Chinchalkar</dc:creator>
  <cp:lastModifiedBy>Nikhil Chinchalkar</cp:lastModifiedBy>
  <dcterms:created xsi:type="dcterms:W3CDTF">2026-02-21T20:13:05Z</dcterms:created>
  <dcterms:modified xsi:type="dcterms:W3CDTF">2026-02-22T19:52:16Z</dcterms:modified>
</cp:coreProperties>
</file>