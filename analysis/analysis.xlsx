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OneDrive\Documents\GitHub\brsn_hot_hand\analysis\"/>
    </mc:Choice>
  </mc:AlternateContent>
  <xr:revisionPtr revIDLastSave="0" documentId="13_ncr:1_{E3091A5D-FE5B-418F-AD54-D3ABADA3C58F}" xr6:coauthVersionLast="47" xr6:coauthVersionMax="47" xr10:uidLastSave="{00000000-0000-0000-0000-000000000000}"/>
  <bookViews>
    <workbookView xWindow="-110" yWindow="-110" windowWidth="22620" windowHeight="13500" xr2:uid="{220D2940-96CA-40C7-A2A5-1CEE7AE4BF13}"/>
  </bookViews>
  <sheets>
    <sheet name="rawTable1" sheetId="12" r:id="rId1"/>
    <sheet name="parsedTable1" sheetId="1" r:id="rId2"/>
    <sheet name="finalTable1" sheetId="13" r:id="rId3"/>
    <sheet name="roster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3" l="1"/>
  <c r="J13" i="13"/>
  <c r="I13" i="13"/>
  <c r="H13" i="13"/>
  <c r="G13" i="13"/>
  <c r="F13" i="13"/>
  <c r="E13" i="13"/>
  <c r="D13" i="13"/>
  <c r="L3" i="13" a="1"/>
  <c r="L3" i="13" s="1"/>
  <c r="L4" i="13" a="1"/>
  <c r="L4" i="13" s="1"/>
  <c r="L5" i="13" a="1"/>
  <c r="L5" i="13" s="1"/>
  <c r="L6" i="13" a="1"/>
  <c r="L6" i="13" s="1"/>
  <c r="L7" i="13" a="1"/>
  <c r="L7" i="13" s="1"/>
  <c r="L8" i="13" a="1"/>
  <c r="L8" i="13" s="1"/>
  <c r="L9" i="13" a="1"/>
  <c r="L9" i="13" s="1"/>
  <c r="L10" i="13" a="1"/>
  <c r="L10" i="13" s="1"/>
  <c r="L11" i="13" a="1"/>
  <c r="L11" i="13" s="1"/>
  <c r="L2" i="13" a="1"/>
  <c r="L2" i="13" s="1"/>
  <c r="K3" i="13"/>
  <c r="K4" i="13"/>
  <c r="K5" i="13"/>
  <c r="K6" i="13"/>
  <c r="K7" i="13"/>
  <c r="K8" i="13"/>
  <c r="K9" i="13"/>
  <c r="K10" i="13"/>
  <c r="K11" i="13"/>
  <c r="K2" i="13"/>
  <c r="J3" i="13"/>
  <c r="J4" i="13"/>
  <c r="J5" i="13"/>
  <c r="J6" i="13"/>
  <c r="J7" i="13"/>
  <c r="J8" i="13"/>
  <c r="J9" i="13"/>
  <c r="J10" i="13"/>
  <c r="J11" i="13"/>
  <c r="J2" i="13"/>
  <c r="I3" i="13"/>
  <c r="I4" i="13"/>
  <c r="I5" i="13"/>
  <c r="I6" i="13"/>
  <c r="I7" i="13"/>
  <c r="I8" i="13"/>
  <c r="I9" i="13"/>
  <c r="I10" i="13"/>
  <c r="I11" i="13"/>
  <c r="I2" i="13"/>
  <c r="H3" i="13"/>
  <c r="H4" i="13"/>
  <c r="H5" i="13"/>
  <c r="H6" i="13"/>
  <c r="H7" i="13"/>
  <c r="H8" i="13"/>
  <c r="H9" i="13"/>
  <c r="H10" i="13"/>
  <c r="H11" i="13"/>
  <c r="H2" i="13"/>
  <c r="G3" i="13"/>
  <c r="G4" i="13"/>
  <c r="G5" i="13"/>
  <c r="G6" i="13"/>
  <c r="G7" i="13"/>
  <c r="G8" i="13"/>
  <c r="G9" i="13"/>
  <c r="G10" i="13"/>
  <c r="G11" i="13"/>
  <c r="G2" i="13"/>
  <c r="F3" i="13"/>
  <c r="F4" i="13"/>
  <c r="F5" i="13"/>
  <c r="F6" i="13"/>
  <c r="F7" i="13"/>
  <c r="F8" i="13"/>
  <c r="F9" i="13"/>
  <c r="F10" i="13"/>
  <c r="F11" i="13"/>
  <c r="F2" i="13"/>
  <c r="E3" i="13"/>
  <c r="E4" i="13"/>
  <c r="E5" i="13"/>
  <c r="E6" i="13"/>
  <c r="E7" i="13"/>
  <c r="E8" i="13"/>
  <c r="E9" i="13"/>
  <c r="E10" i="13"/>
  <c r="E11" i="13"/>
  <c r="E2" i="13"/>
  <c r="D5" i="13"/>
  <c r="D6" i="13"/>
  <c r="D7" i="13"/>
  <c r="D8" i="13"/>
  <c r="D9" i="13"/>
  <c r="D10" i="13"/>
  <c r="D11" i="13"/>
  <c r="D4" i="13"/>
  <c r="D3" i="13"/>
  <c r="D2" i="13"/>
  <c r="T31" i="12"/>
  <c r="U31" i="12" s="1"/>
  <c r="S31" i="12"/>
  <c r="D31" i="12"/>
  <c r="C31" i="12"/>
  <c r="B31" i="12"/>
  <c r="T30" i="12"/>
  <c r="U30" i="12" s="1"/>
  <c r="S30" i="12"/>
  <c r="D30" i="12"/>
  <c r="C30" i="12"/>
  <c r="B30" i="12"/>
  <c r="T29" i="12"/>
  <c r="U29" i="12" s="1"/>
  <c r="S29" i="12"/>
  <c r="D29" i="12"/>
  <c r="C29" i="12"/>
  <c r="B29" i="12"/>
  <c r="T28" i="12"/>
  <c r="U28" i="12" s="1"/>
  <c r="S28" i="12"/>
  <c r="D28" i="12"/>
  <c r="C28" i="12"/>
  <c r="B28" i="12"/>
  <c r="T27" i="12"/>
  <c r="U27" i="12" s="1"/>
  <c r="S27" i="12"/>
  <c r="D27" i="12"/>
  <c r="C27" i="12"/>
  <c r="B27" i="12"/>
  <c r="T26" i="12"/>
  <c r="U26" i="12" s="1"/>
  <c r="S26" i="12"/>
  <c r="D26" i="12"/>
  <c r="C26" i="12"/>
  <c r="B26" i="12"/>
  <c r="T25" i="12"/>
  <c r="U25" i="12" s="1"/>
  <c r="S25" i="12"/>
  <c r="D25" i="12"/>
  <c r="C25" i="12"/>
  <c r="B25" i="12"/>
  <c r="T24" i="12"/>
  <c r="U24" i="12" s="1"/>
  <c r="S24" i="12"/>
  <c r="D24" i="12"/>
  <c r="C24" i="12"/>
  <c r="B24" i="12"/>
  <c r="T23" i="12"/>
  <c r="U23" i="12" s="1"/>
  <c r="S23" i="12"/>
  <c r="D23" i="12"/>
  <c r="C23" i="12"/>
  <c r="B23" i="12"/>
  <c r="T22" i="12"/>
  <c r="U22" i="12" s="1"/>
  <c r="S22" i="12"/>
  <c r="D22" i="12"/>
  <c r="C22" i="12"/>
  <c r="B22" i="12"/>
  <c r="T21" i="12"/>
  <c r="U21" i="12" s="1"/>
  <c r="S21" i="12"/>
  <c r="D21" i="12"/>
  <c r="C21" i="12"/>
  <c r="B21" i="12"/>
  <c r="T20" i="12"/>
  <c r="U20" i="12" s="1"/>
  <c r="S20" i="12"/>
  <c r="D20" i="12"/>
  <c r="C20" i="12"/>
  <c r="B20" i="12"/>
  <c r="T19" i="12"/>
  <c r="U19" i="12" s="1"/>
  <c r="S19" i="12"/>
  <c r="D19" i="12"/>
  <c r="C19" i="12"/>
  <c r="B19" i="12"/>
  <c r="T18" i="12"/>
  <c r="U18" i="12" s="1"/>
  <c r="S18" i="12"/>
  <c r="D18" i="12"/>
  <c r="C18" i="12"/>
  <c r="B18" i="12"/>
  <c r="T17" i="12"/>
  <c r="U17" i="12" s="1"/>
  <c r="S17" i="12"/>
  <c r="D17" i="12"/>
  <c r="C17" i="12"/>
  <c r="B17" i="12"/>
  <c r="T16" i="12"/>
  <c r="U16" i="12" s="1"/>
  <c r="S16" i="12"/>
  <c r="D16" i="12"/>
  <c r="C16" i="12"/>
  <c r="B16" i="12"/>
  <c r="T15" i="12"/>
  <c r="U15" i="12" s="1"/>
  <c r="S15" i="12"/>
  <c r="D15" i="12"/>
  <c r="C15" i="12"/>
  <c r="B15" i="12"/>
  <c r="T14" i="12"/>
  <c r="U14" i="12" s="1"/>
  <c r="S14" i="12"/>
  <c r="D14" i="12"/>
  <c r="C14" i="12"/>
  <c r="B14" i="12"/>
  <c r="T13" i="12"/>
  <c r="U13" i="12" s="1"/>
  <c r="S13" i="12"/>
  <c r="D13" i="12"/>
  <c r="C13" i="12"/>
  <c r="B13" i="12"/>
  <c r="T12" i="12"/>
  <c r="U12" i="12" s="1"/>
  <c r="S12" i="12"/>
  <c r="D12" i="12"/>
  <c r="C12" i="12"/>
  <c r="B12" i="12"/>
  <c r="T11" i="12"/>
  <c r="U11" i="12" s="1"/>
  <c r="S11" i="12"/>
  <c r="D11" i="12"/>
  <c r="C11" i="12"/>
  <c r="B11" i="12"/>
  <c r="T10" i="12"/>
  <c r="U10" i="12" s="1"/>
  <c r="S10" i="12"/>
  <c r="D10" i="12"/>
  <c r="C10" i="12"/>
  <c r="B10" i="12"/>
  <c r="T9" i="12"/>
  <c r="U9" i="12" s="1"/>
  <c r="S9" i="12"/>
  <c r="D9" i="12"/>
  <c r="C9" i="12"/>
  <c r="B9" i="12"/>
  <c r="T8" i="12"/>
  <c r="U8" i="12" s="1"/>
  <c r="S8" i="12"/>
  <c r="D8" i="12"/>
  <c r="C8" i="12"/>
  <c r="B8" i="12"/>
  <c r="T7" i="12"/>
  <c r="U7" i="12" s="1"/>
  <c r="S7" i="12"/>
  <c r="D7" i="12"/>
  <c r="C7" i="12"/>
  <c r="B7" i="12"/>
  <c r="T6" i="12"/>
  <c r="U6" i="12" s="1"/>
  <c r="S6" i="12"/>
  <c r="D6" i="12"/>
  <c r="C6" i="12"/>
  <c r="B6" i="12"/>
  <c r="T5" i="12"/>
  <c r="U5" i="12" s="1"/>
  <c r="S5" i="12"/>
  <c r="D5" i="12"/>
  <c r="C5" i="12"/>
  <c r="B5" i="12"/>
  <c r="T4" i="12"/>
  <c r="U4" i="12" s="1"/>
  <c r="S4" i="12"/>
  <c r="D4" i="12"/>
  <c r="C4" i="12"/>
  <c r="B4" i="12"/>
  <c r="T3" i="12"/>
  <c r="U3" i="12" s="1"/>
  <c r="S3" i="12"/>
  <c r="D3" i="12"/>
  <c r="C3" i="12"/>
  <c r="B3" i="12"/>
  <c r="T2" i="12"/>
  <c r="U2" i="12" s="1"/>
  <c r="S2" i="12"/>
  <c r="D2" i="12"/>
  <c r="C2" i="12"/>
  <c r="B2" i="12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D2" i="1"/>
  <c r="C2" i="1"/>
  <c r="B3" i="1"/>
  <c r="B4" i="1"/>
  <c r="B5" i="1"/>
  <c r="B6" i="1"/>
  <c r="B7" i="1"/>
  <c r="B8" i="1"/>
  <c r="B9" i="1"/>
  <c r="B10" i="1"/>
  <c r="B11" i="1"/>
  <c r="B2" i="1"/>
  <c r="S7" i="1"/>
  <c r="T7" i="1" s="1"/>
  <c r="U7" i="1" s="1"/>
  <c r="S8" i="1"/>
  <c r="T8" i="1"/>
  <c r="U8" i="1" s="1"/>
  <c r="S9" i="1"/>
  <c r="T9" i="1" s="1"/>
  <c r="U9" i="1" s="1"/>
  <c r="S10" i="1"/>
  <c r="T10" i="1" s="1"/>
  <c r="U10" i="1" s="1"/>
  <c r="S11" i="1"/>
  <c r="T11" i="1" s="1"/>
  <c r="U11" i="1" s="1"/>
  <c r="S2" i="1"/>
  <c r="T2" i="1" s="1"/>
  <c r="U2" i="1" s="1"/>
  <c r="S3" i="1"/>
  <c r="T3" i="1" s="1"/>
  <c r="U3" i="1" s="1"/>
  <c r="S4" i="1"/>
  <c r="T4" i="1" s="1"/>
  <c r="U4" i="1" s="1"/>
  <c r="S5" i="1"/>
  <c r="T5" i="1" s="1"/>
  <c r="U5" i="1" s="1"/>
  <c r="S6" i="1"/>
  <c r="T6" i="1" s="1"/>
  <c r="U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<sst xmlns="http://schemas.openxmlformats.org/spreadsheetml/2006/main" count="477" uniqueCount="305">
  <si>
    <t>athleteId</t>
  </si>
  <si>
    <t>countHit</t>
  </si>
  <si>
    <t>prHit</t>
  </si>
  <si>
    <t>count3Misses</t>
  </si>
  <si>
    <t>prHit3Misses</t>
  </si>
  <si>
    <t>count2Misses</t>
  </si>
  <si>
    <t>prHit2Misses</t>
  </si>
  <si>
    <t>count1Miss</t>
  </si>
  <si>
    <t>prHit1Miss</t>
  </si>
  <si>
    <t>count1Make</t>
  </si>
  <si>
    <t>prHit1Make</t>
  </si>
  <si>
    <t>count2Makes</t>
  </si>
  <si>
    <t>prHit2Makes</t>
  </si>
  <si>
    <t>count3Makes</t>
  </si>
  <si>
    <t>prHit3Makes</t>
  </si>
  <si>
    <t>serialCorrelation</t>
  </si>
  <si>
    <t>Pvalue</t>
  </si>
  <si>
    <t>yuleWalkerEstimateZ</t>
  </si>
  <si>
    <t>shortName</t>
  </si>
  <si>
    <t>name</t>
  </si>
  <si>
    <t>href</t>
  </si>
  <si>
    <t>uid</t>
  </si>
  <si>
    <t>guid</t>
  </si>
  <si>
    <t>id</t>
  </si>
  <si>
    <t>height</t>
  </si>
  <si>
    <t>position</t>
  </si>
  <si>
    <t>hand</t>
  </si>
  <si>
    <t>jersey</t>
  </si>
  <si>
    <t>birthPlace</t>
  </si>
  <si>
    <t>headshot</t>
  </si>
  <si>
    <t>lastName</t>
  </si>
  <si>
    <t>experience</t>
  </si>
  <si>
    <t>A. Andrews</t>
  </si>
  <si>
    <t>Alana Andrews</t>
  </si>
  <si>
    <t>https://www.espn.com/womens-college-basketball/player/_/id/5241810/alana-andrews</t>
  </si>
  <si>
    <t>s:40~l:54~a:5241810</t>
  </si>
  <si>
    <t>03a4a20a-77bd-37b0-bea6-61bffda433c7</t>
  </si>
  <si>
    <t>6' 2"</t>
  </si>
  <si>
    <t>G</t>
  </si>
  <si>
    <t>L</t>
  </si>
  <si>
    <t>New York, NY</t>
  </si>
  <si>
    <t>https://a.espncdn.com/i/headshots/womens-college-basketball/players/full/5241810.png</t>
  </si>
  <si>
    <t>SO</t>
  </si>
  <si>
    <t>A. Chen</t>
  </si>
  <si>
    <t>Audrey Chen</t>
  </si>
  <si>
    <t>https://www.espn.com/womens-college-basketball/player/_/id/5241811/audrey-chen</t>
  </si>
  <si>
    <t>s:40~l:54~a:5241811</t>
  </si>
  <si>
    <t>160bc641-557a-3112-96a5-876f0fd541e8</t>
  </si>
  <si>
    <t>5' 7"</t>
  </si>
  <si>
    <t>South Pasadena, CA</t>
  </si>
  <si>
    <t>https://a.espncdn.com/i/headshots/womens-college-basketball/players/full/5241811.png</t>
  </si>
  <si>
    <t>A. Childers</t>
  </si>
  <si>
    <t>Ashley Childers</t>
  </si>
  <si>
    <t>https://www.espn.com/womens-college-basketball/player/_/id/5313304/ashley-childers</t>
  </si>
  <si>
    <t>s:40~l:54~a:5313304</t>
  </si>
  <si>
    <t>52280e5d-cc7d-3648-b3f7-c32d81e4af67</t>
  </si>
  <si>
    <t>6' 3"</t>
  </si>
  <si>
    <t>F</t>
  </si>
  <si>
    <t>Los Gatos, CA</t>
  </si>
  <si>
    <t>https://a.espncdn.com/i/headshots/womens-college-basketball/players/full/5313304.png</t>
  </si>
  <si>
    <t>FR</t>
  </si>
  <si>
    <t>W. Chinn</t>
  </si>
  <si>
    <t>Willa Chinn</t>
  </si>
  <si>
    <t>https://www.espn.com/womens-college-basketball/player/_/id/5313306/willa-chinn</t>
  </si>
  <si>
    <t>s:40~l:54~a:5313306</t>
  </si>
  <si>
    <t>8ee67d83-e67b-3d68-93e1-cbbe15168ca3</t>
  </si>
  <si>
    <t>5' 10"</t>
  </si>
  <si>
    <t>Seattle, WA</t>
  </si>
  <si>
    <t>https://a.espncdn.com/i/headshots/womens-college-basketball/players/full/5313306.png</t>
  </si>
  <si>
    <t>P. Engels</t>
  </si>
  <si>
    <t>Paige Engels</t>
  </si>
  <si>
    <t>https://www.espn.com/womens-college-basketball/player/_/id/5241809/paige-engels</t>
  </si>
  <si>
    <t>s:40~l:54~a:5241809</t>
  </si>
  <si>
    <t>f5c02a62-ea79-3dbd-aa3a-4a33bf6e9e1d</t>
  </si>
  <si>
    <t>5' 8"</t>
  </si>
  <si>
    <t>Golf, IL</t>
  </si>
  <si>
    <t>https://a.espncdn.com/i/headshots/womens-college-basketball/players/full/5241809.png</t>
  </si>
  <si>
    <t>C. Jackson</t>
  </si>
  <si>
    <t>Clarke Jackson</t>
  </si>
  <si>
    <t>https://www.espn.com/womens-college-basketball/player/_/id/5176410/clarke-jackson</t>
  </si>
  <si>
    <t>s:40~l:54~a:5176410</t>
  </si>
  <si>
    <t>298f6e84-b687-3e2b-bbce-03c022af2a01</t>
  </si>
  <si>
    <t>5' 9"</t>
  </si>
  <si>
    <t>Columbus, OH</t>
  </si>
  <si>
    <t>https://a.espncdn.com/i/headshots/womens-college-basketball/players/full/5176410.png</t>
  </si>
  <si>
    <t>JR</t>
  </si>
  <si>
    <t>T. Jones</t>
  </si>
  <si>
    <t>Trinity Jones</t>
  </si>
  <si>
    <t>https://www.espn.com/womens-college-basketball/player/_/id/5313303/trinity-jones</t>
  </si>
  <si>
    <t>s:40~l:54~a:5313303</t>
  </si>
  <si>
    <t>4ac438b4-e3d0-3e7b-b7e9-08943101cd7e</t>
  </si>
  <si>
    <t>Phoenix, AZ</t>
  </si>
  <si>
    <t>https://a.espncdn.com/i/headshots/womens-college-basketball/players/full/5313303.png</t>
  </si>
  <si>
    <t>R. Kaus</t>
  </si>
  <si>
    <t>Rachel Kaus</t>
  </si>
  <si>
    <t>https://www.espn.com/womens-college-basketball/player/_/id/5176408/rachel-kaus</t>
  </si>
  <si>
    <t>s:40~l:54~a:5176408</t>
  </si>
  <si>
    <t>bfc4c237-2548-373b-8a4e-ed3427634635</t>
  </si>
  <si>
    <t>6' 0"</t>
  </si>
  <si>
    <t>Lake Bluff, IL</t>
  </si>
  <si>
    <t>https://a.espncdn.com/i/headshots/womens-college-basketball/players/full/5176408.png</t>
  </si>
  <si>
    <t>A. Kilgoe</t>
  </si>
  <si>
    <t>Azareya Kilgoe</t>
  </si>
  <si>
    <t>https://www.espn.com/womens-college-basketball/player/_/id/5176407/azareya-kilgoe</t>
  </si>
  <si>
    <t>s:40~l:54~a:5176407</t>
  </si>
  <si>
    <t>f63d5583-c2a9-3f2e-bd04-7a1a2b220c37</t>
  </si>
  <si>
    <t>5' 4"</t>
  </si>
  <si>
    <t>Seaford, DE</t>
  </si>
  <si>
    <t>https://a.espncdn.com/i/headshots/womens-college-basketball/players/full/5176407.png</t>
  </si>
  <si>
    <t>V. Knee</t>
  </si>
  <si>
    <t>Vivienne Knee</t>
  </si>
  <si>
    <t>https://www.espn.com/womens-college-basketball/player/_/id/5108936/vivienne-knee</t>
  </si>
  <si>
    <t>s:40~l:54~a:5108936</t>
  </si>
  <si>
    <t>d6512ea1-eb8d-3a7e-b529-30fecd93e137</t>
  </si>
  <si>
    <t>B</t>
  </si>
  <si>
    <t>https://a.espncdn.com/i/headshots/womens-college-basketball/players/full/5108936.png</t>
  </si>
  <si>
    <t>SR</t>
  </si>
  <si>
    <t>K. Langston</t>
  </si>
  <si>
    <t>Kelsey Langston</t>
  </si>
  <si>
    <t>https://www.espn.com/womens-college-basketball/player/_/id/5241812/kelsey-langston</t>
  </si>
  <si>
    <t>s:40~l:54~a:5241812</t>
  </si>
  <si>
    <t>9fbd43bf-ec2a-31dc-bcae-d3140567310b</t>
  </si>
  <si>
    <t>Wilmette, IL</t>
  </si>
  <si>
    <t>https://a.espncdn.com/i/headshots/womens-college-basketball/players/full/5241812.png</t>
  </si>
  <si>
    <t>A. Pape</t>
  </si>
  <si>
    <t>Ally Pape</t>
  </si>
  <si>
    <t>https://www.espn.com/womens-college-basketball/player/_/id/5313307/ally-pape</t>
  </si>
  <si>
    <t>s:40~l:54~a:5313307</t>
  </si>
  <si>
    <t>e70d097a-2934-35c8-be5f-5345a67c310a</t>
  </si>
  <si>
    <t>5' 11"</t>
  </si>
  <si>
    <t>Park Ridge, IL</t>
  </si>
  <si>
    <t>https://a.espncdn.com/i/headshots/womens-college-basketball/players/full/5313307.png</t>
  </si>
  <si>
    <t>E. Pape</t>
  </si>
  <si>
    <t>Emily Pape</t>
  </si>
  <si>
    <t>https://www.espn.com/womens-college-basketball/player/_/id/5108938/emily-pape</t>
  </si>
  <si>
    <t>s:40~l:54~a:5108938</t>
  </si>
  <si>
    <t>a86ff48b-7962-347f-a7b0-cbc29e392526</t>
  </si>
  <si>
    <t>6' 1"</t>
  </si>
  <si>
    <t>https://a.espncdn.com/i/headshots/womens-college-basketball/players/full/5108938.png</t>
  </si>
  <si>
    <t>G. Renners</t>
  </si>
  <si>
    <t>Grace Renners</t>
  </si>
  <si>
    <t>https://www.espn.com/womens-college-basketball/player/_/id/5313305/grace-renners</t>
  </si>
  <si>
    <t>s:40~l:54~a:5313305</t>
  </si>
  <si>
    <t>110b15c1-d94c-3ff8-905c-d95c8abc43b4</t>
  </si>
  <si>
    <t>Bellevue, WA</t>
  </si>
  <si>
    <t>https://a.espncdn.com/i/headshots/womens-college-basketball/players/full/5313305.png</t>
  </si>
  <si>
    <t>J. Abalos</t>
  </si>
  <si>
    <t>Jax Abalos</t>
  </si>
  <si>
    <t>https://www.espn.com/mens-college-basketball/player/_/id/5313690/jax-abalos</t>
  </si>
  <si>
    <t>s:40~l:41~a:5313690</t>
  </si>
  <si>
    <t>953fef17-d537-3b2e-bf5c-d6aff357df1c</t>
  </si>
  <si>
    <t>6' 8"</t>
  </si>
  <si>
    <t>Batavia, IL</t>
  </si>
  <si>
    <t>https://a.espncdn.com/i/headshots/mens-college-basketball/players/full/5313690.png</t>
  </si>
  <si>
    <t>J. Baldwin</t>
  </si>
  <si>
    <t>Josh Baldwin</t>
  </si>
  <si>
    <t>https://www.espn.com/mens-college-basketball/player/_/id/5106245/josh-baldwin</t>
  </si>
  <si>
    <t>s:40~l:41~a:5106245</t>
  </si>
  <si>
    <t>e8d07f24-ca4d-3a3e-88fd-9ffe90a06fcd</t>
  </si>
  <si>
    <t>6' 5"</t>
  </si>
  <si>
    <t>Everett, MA</t>
  </si>
  <si>
    <t>https://a.espncdn.com/i/headshots/mens-college-basketball/players/full/5106245.png</t>
  </si>
  <si>
    <t>J. Beccles</t>
  </si>
  <si>
    <t>Jacob Beccles</t>
  </si>
  <si>
    <t>https://www.espn.com/mens-college-basketball/player/_/id/5175898/jacob-beccles</t>
  </si>
  <si>
    <t>s:40~l:41~a:5175898</t>
  </si>
  <si>
    <t>8940b000-b886-34eb-9aeb-81b22194998c</t>
  </si>
  <si>
    <t>Philadelphia, PA</t>
  </si>
  <si>
    <t>https://a.espncdn.com/i/headshots/mens-college-basketball/players/full/5175898.png</t>
  </si>
  <si>
    <t>R. Burbach</t>
  </si>
  <si>
    <t>Ryan Burbach</t>
  </si>
  <si>
    <t>https://www.espn.com/mens-college-basketball/player/_/id/5313691/ryan-burbach</t>
  </si>
  <si>
    <t>s:40~l:41~a:5313691</t>
  </si>
  <si>
    <t>7425e871-c9f5-3471-b43d-b992377f4a00</t>
  </si>
  <si>
    <t>https://a.espncdn.com/i/headshots/mens-college-basketball/players/full/5313691.png</t>
  </si>
  <si>
    <t>J. Fiegen</t>
  </si>
  <si>
    <t>Jake Fiegen</t>
  </si>
  <si>
    <t>https://www.espn.com/mens-college-basketball/player/_/id/5175900/jake-fiegen</t>
  </si>
  <si>
    <t>s:40~l:41~a:5175900</t>
  </si>
  <si>
    <t>5203b5aa-862a-3a4f-8fa7-118a7ea502f4</t>
  </si>
  <si>
    <t>6' 4"</t>
  </si>
  <si>
    <t>https://a.espncdn.com/i/headshots/mens-college-basketball/players/full/5175900.png</t>
  </si>
  <si>
    <t>D. Fishburn</t>
  </si>
  <si>
    <t>DaMaryon Fishburn</t>
  </si>
  <si>
    <t>https://www.espn.com/mens-college-basketball/player/_/id/5313688/damaryon-fishburn</t>
  </si>
  <si>
    <t>s:40~l:41~a:5313688</t>
  </si>
  <si>
    <t>992f2203-ca04-3fe6-86d3-e0358387a61d</t>
  </si>
  <si>
    <t>Detroit, MI</t>
  </si>
  <si>
    <t>https://a.espncdn.com/i/headshots/mens-college-basketball/players/full/5313688.png</t>
  </si>
  <si>
    <t>E. Griffin</t>
  </si>
  <si>
    <t>Elijah Griffin</t>
  </si>
  <si>
    <t>https://www.espn.com/mens-college-basketball/player/_/id/5313689/elijah-griffin</t>
  </si>
  <si>
    <t>s:40~l:41~a:5313689</t>
  </si>
  <si>
    <t>efb3bd5e-868d-3103-bf17-b908daad937d</t>
  </si>
  <si>
    <t>Kenosha, WI</t>
  </si>
  <si>
    <t>https://a.espncdn.com/i/headshots/mens-college-basketball/players/full/5313689.png</t>
  </si>
  <si>
    <t>A. Hinton</t>
  </si>
  <si>
    <t>Adam Hinton</t>
  </si>
  <si>
    <t>https://www.espn.com/mens-college-basketball/player/_/id/5106243/adam-hinton</t>
  </si>
  <si>
    <t>s:40~l:41~a:5106243</t>
  </si>
  <si>
    <t>5541ca5e-3adb-3109-8c18-e1fdd160a79c</t>
  </si>
  <si>
    <t>Hollywood Hills, CA</t>
  </si>
  <si>
    <t>https://a.espncdn.com/i/headshots/mens-college-basketball/players/full/5106243.png</t>
  </si>
  <si>
    <t>I. Imegwu</t>
  </si>
  <si>
    <t>Ian Imegwu</t>
  </si>
  <si>
    <t>https://www.espn.com/mens-college-basketball/player/_/id/5175897/ian-imegwu</t>
  </si>
  <si>
    <t>s:40~l:41~a:5175897</t>
  </si>
  <si>
    <t>80ad992c-2dcd-38e6-aa72-d0dbe283be18</t>
  </si>
  <si>
    <t>6' 9"</t>
  </si>
  <si>
    <t>R</t>
  </si>
  <si>
    <t>Short Hills, NJ</t>
  </si>
  <si>
    <t>https://a.espncdn.com/i/headshots/mens-college-basketball/players/full/5175897.png</t>
  </si>
  <si>
    <t>T. Iwanonkiw</t>
  </si>
  <si>
    <t>Ty Iwanonkiw</t>
  </si>
  <si>
    <t>https://www.espn.com/mens-college-basketball/player/_/id/5241719/ty-iwanonkiw</t>
  </si>
  <si>
    <t>s:40~l:41~a:5241719</t>
  </si>
  <si>
    <t>2f111c61-5848-3e98-a615-59fcfdec4891</t>
  </si>
  <si>
    <t>Pittsburgh, PA</t>
  </si>
  <si>
    <t>https://a.espncdn.com/i/headshots/mens-college-basketball/players/full/5241719.png</t>
  </si>
  <si>
    <t>A. LaBeau</t>
  </si>
  <si>
    <t>AJ LaBeau</t>
  </si>
  <si>
    <t>https://www.espn.com/mens-college-basketball/player/_/id/5174972/aj-labeau</t>
  </si>
  <si>
    <t>s:40~l:41~a:5174972</t>
  </si>
  <si>
    <t>01ecc018-e115-3ae8-a11d-a0a5afa9d79e</t>
  </si>
  <si>
    <t>6' 10"</t>
  </si>
  <si>
    <t>Boise, ID</t>
  </si>
  <si>
    <t>https://a.espncdn.com/i/headshots/mens-college-basketball/players/full/5174972.png</t>
  </si>
  <si>
    <t>B. Lecklitner</t>
  </si>
  <si>
    <t>Blake Lecklitner</t>
  </si>
  <si>
    <t>https://www.espn.com/mens-college-basketball/player/_/id/5313692/blake-lecklitner</t>
  </si>
  <si>
    <t>s:40~l:41~a:5313692</t>
  </si>
  <si>
    <t>42665efc-0064-33bc-9b9b-7ec84e0ed493</t>
  </si>
  <si>
    <t>Prosper, TX</t>
  </si>
  <si>
    <t>https://a.espncdn.com/i/headshots/mens-college-basketball/players/full/5313692.png</t>
  </si>
  <si>
    <t>A. Nimani</t>
  </si>
  <si>
    <t>Anthony Nimani</t>
  </si>
  <si>
    <t>https://www.espn.com/mens-college-basketball/player/_/id/5241718/anthony-nimani</t>
  </si>
  <si>
    <t>s:40~l:41~a:5241718</t>
  </si>
  <si>
    <t>9c14d30e-0031-3afe-8243-537f6bc51ce5</t>
  </si>
  <si>
    <t>Meriden, CT</t>
  </si>
  <si>
    <t>https://a.espncdn.com/i/headshots/mens-college-basketball/players/full/5241718.png</t>
  </si>
  <si>
    <t>D. Nix</t>
  </si>
  <si>
    <t>DJ Nix</t>
  </si>
  <si>
    <t>https://www.espn.com/mens-college-basketball/player/_/id/4684840/dj-nix</t>
  </si>
  <si>
    <t>s:40~l:41~a:4684840</t>
  </si>
  <si>
    <t>33151e7f-21ad-3a32-9451-e986be75b928</t>
  </si>
  <si>
    <t>6' 6"</t>
  </si>
  <si>
    <t>Harrisburg, NC</t>
  </si>
  <si>
    <t>https://a.espncdn.com/i/headshots/mens-college-basketball/players/full/4684840.png</t>
  </si>
  <si>
    <t>C. Noard</t>
  </si>
  <si>
    <t>Cooper Noard</t>
  </si>
  <si>
    <t>https://www.espn.com/mens-college-basketball/player/_/id/5106247/cooper-noard</t>
  </si>
  <si>
    <t>s:40~l:41~a:5106247</t>
  </si>
  <si>
    <t>bfb481b4-c764-308d-a3ff-0d8625ba617a</t>
  </si>
  <si>
    <t>Glenview, IL</t>
  </si>
  <si>
    <t>https://a.espncdn.com/i/headshots/mens-college-basketball/players/full/5106247.png</t>
  </si>
  <si>
    <t>G. Panzini</t>
  </si>
  <si>
    <t>Gioacchino Panzini</t>
  </si>
  <si>
    <t>https://www.espn.com/mens-college-basketball/player/_/id/5241716/gioacchino-panzini</t>
  </si>
  <si>
    <t>s:40~l:41~a:5241716</t>
  </si>
  <si>
    <t>7c2a4222-cf98-3d72-ac3b-06b62484a03f</t>
  </si>
  <si>
    <t>Spring Lake, NJ</t>
  </si>
  <si>
    <t>https://a.espncdn.com/i/headshots/mens-college-basketball/players/full/5241716.png</t>
  </si>
  <si>
    <t>M. Rafiq</t>
  </si>
  <si>
    <t>Mateen Rafiq</t>
  </si>
  <si>
    <t>https://www.espn.com/mens-college-basketball/player/_/id/5241717/mateen-rafiq</t>
  </si>
  <si>
    <t>s:40~l:41~a:5241717</t>
  </si>
  <si>
    <t>1ae1f9a0-c6ae-3b52-9d2a-bb35b059ef69</t>
  </si>
  <si>
    <t>Sacramento, CA</t>
  </si>
  <si>
    <t>https://a.espncdn.com/i/headshots/mens-college-basketball/players/full/5241717.png</t>
  </si>
  <si>
    <t>A. Rodriguez</t>
  </si>
  <si>
    <t>AJ Rodriguez</t>
  </si>
  <si>
    <t>https://www.espn.com/mens-college-basketball/player/_/id/5241720/aj-rodriguez</t>
  </si>
  <si>
    <t>s:40~l:41~a:5241720</t>
  </si>
  <si>
    <t>c5d12194-b9ee-3f47-bc8b-afb3dcb99738</t>
  </si>
  <si>
    <t>Westchester, NY</t>
  </si>
  <si>
    <t>https://a.espncdn.com/i/headshots/mens-college-basketball/players/full/5241720.png</t>
  </si>
  <si>
    <t>K. Sepp</t>
  </si>
  <si>
    <t>Kaspar Sepp</t>
  </si>
  <si>
    <t>https://www.espn.com/mens-college-basketball/player/_/id/5176404/kaspar-sepp</t>
  </si>
  <si>
    <t>s:40~l:41~a:5176404</t>
  </si>
  <si>
    <t>1dd4bae9-703d-3834-bdca-4b1a255f4f90</t>
  </si>
  <si>
    <t>6' 7"</t>
  </si>
  <si>
    <t>Tartu, Estonia</t>
  </si>
  <si>
    <t>https://a.espncdn.com/i/headshots/mens-college-basketball/players/full/5176404.png</t>
  </si>
  <si>
    <t>C. Zentner</t>
  </si>
  <si>
    <t>Corbin Zentner</t>
  </si>
  <si>
    <t>https://www.espn.com/mens-college-basketball/player/_/id/5196671/corbin-zentner</t>
  </si>
  <si>
    <t>s:40~l:41~a:5196671</t>
  </si>
  <si>
    <t>e4328e30-2d8b-3b72-8247-128afe95b868</t>
  </si>
  <si>
    <t>Alpine, UT</t>
  </si>
  <si>
    <t>https://a.espncdn.com/i/headshots/mens-college-basketball/players/full/5196671.png</t>
  </si>
  <si>
    <t>year</t>
  </si>
  <si>
    <t>P(hit|3 misses)</t>
  </si>
  <si>
    <t>P(hit|2 misses)</t>
  </si>
  <si>
    <t>P(hit)</t>
  </si>
  <si>
    <t>P(hit| 1 miss)</t>
  </si>
  <si>
    <t>P(hit|1 hit)</t>
  </si>
  <si>
    <t>P(hit| 2 hits)</t>
  </si>
  <si>
    <t>P(hit| 3 hits)</t>
  </si>
  <si>
    <t>Player</t>
  </si>
  <si>
    <t>Position</t>
  </si>
  <si>
    <t>Year</t>
  </si>
  <si>
    <t>Serial Correlation</t>
  </si>
  <si>
    <t>Weighted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</si>
</sst>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2" fontId="0" fillId="0" borderId="0" xfId="0" applyNumberFormat="1"/>
    <xf numFmtId="165" fontId="0" fillId="0" borderId="0" xfId="0" quotePrefix="1" applyNumberFormat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EA94-A87F-47F0-BABB-FB1E6B241738}">
  <dimension ref="A1:U32"/>
  <sheetViews>
    <sheetView tabSelected="1" topLeftCell="B1" zoomScale="88" workbookViewId="0">
      <selection activeCell="D27" sqref="D27"/>
    </sheetView>
  </sheetViews>
  <sheetFormatPr defaultRowHeight="14.5" x14ac:dyDescent="0.35"/>
  <cols>
    <col min="1" max="1" width="12.36328125" style="1" bestFit="1" customWidth="1"/>
    <col min="2" max="4" width="12.36328125" style="1" customWidth="1"/>
    <col min="5" max="5" width="12.36328125" style="1" bestFit="1" customWidth="1"/>
    <col min="6" max="6" width="12.08984375" style="2" bestFit="1" customWidth="1"/>
    <col min="7" max="7" width="12.36328125" style="1" bestFit="1" customWidth="1"/>
    <col min="8" max="8" width="12.08984375" style="2" bestFit="1" customWidth="1"/>
    <col min="9" max="9" width="10.453125" style="1" bestFit="1" customWidth="1"/>
    <col min="10" max="10" width="12.08984375" style="2" bestFit="1" customWidth="1"/>
    <col min="11" max="11" width="8.36328125" style="1" bestFit="1" customWidth="1"/>
    <col min="12" max="12" width="12.08984375" style="2" bestFit="1" customWidth="1"/>
    <col min="13" max="13" width="11.08984375" style="1" bestFit="1" customWidth="1"/>
    <col min="14" max="14" width="12.08984375" style="2" bestFit="1" customWidth="1"/>
    <col min="15" max="15" width="12" style="1" bestFit="1" customWidth="1"/>
    <col min="16" max="16" width="12.08984375" style="2" bestFit="1" customWidth="1"/>
    <col min="17" max="17" width="12" style="1" bestFit="1" customWidth="1"/>
    <col min="18" max="18" width="12.08984375" style="2" bestFit="1" customWidth="1"/>
    <col min="19" max="19" width="23.7265625" customWidth="1"/>
    <col min="20" max="20" width="21" customWidth="1"/>
    <col min="21" max="21" width="11.36328125" bestFit="1" customWidth="1"/>
  </cols>
  <sheetData>
    <row r="1" spans="1:21" x14ac:dyDescent="0.35">
      <c r="A1" s="1" t="s">
        <v>0</v>
      </c>
      <c r="B1" s="1" t="s">
        <v>19</v>
      </c>
      <c r="C1" s="1" t="s">
        <v>25</v>
      </c>
      <c r="D1" s="1" t="s">
        <v>292</v>
      </c>
      <c r="E1" s="1" t="s">
        <v>3</v>
      </c>
      <c r="F1" s="3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1" t="s">
        <v>1</v>
      </c>
      <c r="L1" s="3" t="s">
        <v>2</v>
      </c>
      <c r="M1" s="1" t="s">
        <v>9</v>
      </c>
      <c r="N1" s="3" t="s">
        <v>10</v>
      </c>
      <c r="O1" s="1" t="s">
        <v>11</v>
      </c>
      <c r="P1" s="3" t="s">
        <v>12</v>
      </c>
      <c r="Q1" s="1" t="s">
        <v>13</v>
      </c>
      <c r="R1" s="3" t="s">
        <v>14</v>
      </c>
      <c r="S1" s="3" t="s">
        <v>15</v>
      </c>
      <c r="T1" s="3" t="s">
        <v>17</v>
      </c>
      <c r="U1" s="3" t="s">
        <v>16</v>
      </c>
    </row>
    <row r="2" spans="1:21" x14ac:dyDescent="0.35">
      <c r="A2" s="1">
        <v>5106247</v>
      </c>
      <c r="B2" s="1" t="str">
        <f>_xlfn.XLOOKUP($A2,rosters!$F:$F,rosters!$M:$M)</f>
        <v>Cooper Noard</v>
      </c>
      <c r="C2" s="1" t="str">
        <f>_xlfn.XLOOKUP($A2,rosters!$F:$F,rosters!$H:$H)</f>
        <v>G</v>
      </c>
      <c r="D2" s="1" t="str">
        <f>_xlfn.XLOOKUP($A2,rosters!$F:$F,rosters!$N:$N)</f>
        <v>SR</v>
      </c>
      <c r="E2" s="1">
        <v>16</v>
      </c>
      <c r="F2" s="3">
        <v>0.5625</v>
      </c>
      <c r="G2" s="1">
        <v>47</v>
      </c>
      <c r="H2" s="3">
        <v>0.61702127659574402</v>
      </c>
      <c r="I2" s="1">
        <v>119</v>
      </c>
      <c r="J2" s="3">
        <v>0.57142857142857095</v>
      </c>
      <c r="K2" s="1">
        <v>279</v>
      </c>
      <c r="L2" s="3">
        <v>0.51971326164874498</v>
      </c>
      <c r="M2" s="1">
        <v>137</v>
      </c>
      <c r="N2" s="3">
        <v>0.452554744525547</v>
      </c>
      <c r="O2" s="1">
        <v>56</v>
      </c>
      <c r="P2" s="3">
        <v>0.46428571428571402</v>
      </c>
      <c r="Q2" s="1">
        <v>24</v>
      </c>
      <c r="R2" s="3">
        <v>0.375</v>
      </c>
      <c r="S2" s="3">
        <f t="shared" ref="S2:S31" si="0">((N2*L2)-(L2*L2))/(L2*(1-L2))</f>
        <v>-0.13983004684606123</v>
      </c>
      <c r="T2" s="3">
        <f t="shared" ref="T2:T31" si="1">SQRT(K2)*S2</f>
        <v>-2.3356222550470571</v>
      </c>
      <c r="U2" s="3">
        <f t="shared" ref="U2:U31" si="2">2*(1-_xlfn.NORM.S.DIST(ABS(T2),TRUE))</f>
        <v>1.9510937644194648E-2</v>
      </c>
    </row>
    <row r="3" spans="1:21" x14ac:dyDescent="0.35">
      <c r="A3" s="1">
        <v>5106243</v>
      </c>
      <c r="B3" s="1" t="str">
        <f>_xlfn.XLOOKUP($A3,rosters!$F:$F,rosters!$M:$M)</f>
        <v>Adam Hinton</v>
      </c>
      <c r="C3" s="1" t="str">
        <f>_xlfn.XLOOKUP($A3,rosters!$F:$F,rosters!$H:$H)</f>
        <v>G</v>
      </c>
      <c r="D3" s="1" t="str">
        <f>_xlfn.XLOOKUP($A3,rosters!$F:$F,rosters!$N:$N)</f>
        <v>SR</v>
      </c>
      <c r="E3" s="1">
        <v>15</v>
      </c>
      <c r="F3" s="3">
        <v>0.66666666666666596</v>
      </c>
      <c r="G3" s="1">
        <v>39</v>
      </c>
      <c r="H3" s="3">
        <v>0.56410256410256399</v>
      </c>
      <c r="I3" s="1">
        <v>98</v>
      </c>
      <c r="J3" s="3">
        <v>0.56122448979591799</v>
      </c>
      <c r="K3" s="1">
        <v>218</v>
      </c>
      <c r="L3" s="3">
        <v>0.490825688073394</v>
      </c>
      <c r="M3" s="1">
        <v>97</v>
      </c>
      <c r="N3" s="3">
        <v>0.432989690721649</v>
      </c>
      <c r="O3" s="1">
        <v>34</v>
      </c>
      <c r="P3" s="3">
        <v>0.47058823529411697</v>
      </c>
      <c r="Q3" s="1">
        <v>12</v>
      </c>
      <c r="R3" s="3">
        <v>0.58333333333333304</v>
      </c>
      <c r="S3" s="3">
        <f t="shared" si="0"/>
        <v>-0.1135878146187423</v>
      </c>
      <c r="T3" s="3">
        <f t="shared" si="1"/>
        <v>-1.677103984644323</v>
      </c>
      <c r="U3" s="3">
        <f t="shared" si="2"/>
        <v>9.3522149761463114E-2</v>
      </c>
    </row>
    <row r="4" spans="1:21" x14ac:dyDescent="0.35">
      <c r="A4" s="1">
        <v>5175900</v>
      </c>
      <c r="B4" s="1" t="str">
        <f>_xlfn.XLOOKUP($A4,rosters!$F:$F,rosters!$M:$M)</f>
        <v>Jake Fiegen</v>
      </c>
      <c r="C4" s="1" t="str">
        <f>_xlfn.XLOOKUP($A4,rosters!$F:$F,rosters!$H:$H)</f>
        <v>G</v>
      </c>
      <c r="D4" s="1" t="str">
        <f>_xlfn.XLOOKUP($A4,rosters!$F:$F,rosters!$N:$N)</f>
        <v>SR</v>
      </c>
      <c r="E4" s="1">
        <v>17</v>
      </c>
      <c r="F4" s="3">
        <v>0.58823529411764697</v>
      </c>
      <c r="G4" s="1">
        <v>36</v>
      </c>
      <c r="H4" s="3">
        <v>0.44444444444444398</v>
      </c>
      <c r="I4" s="1">
        <v>86</v>
      </c>
      <c r="J4" s="3">
        <v>0.53488372093023195</v>
      </c>
      <c r="K4" s="1">
        <v>210</v>
      </c>
      <c r="L4" s="3">
        <v>0.54285714285714204</v>
      </c>
      <c r="M4" s="1">
        <v>105</v>
      </c>
      <c r="N4" s="3">
        <v>0.56190476190476102</v>
      </c>
      <c r="O4" s="1">
        <v>53</v>
      </c>
      <c r="P4" s="3">
        <v>0.52830188679245205</v>
      </c>
      <c r="Q4" s="1">
        <v>27</v>
      </c>
      <c r="R4" s="3">
        <v>0.51851851851851805</v>
      </c>
      <c r="S4" s="3">
        <f t="shared" si="0"/>
        <v>4.166666666666656E-2</v>
      </c>
      <c r="T4" s="3">
        <f t="shared" si="1"/>
        <v>0.6038073644245584</v>
      </c>
      <c r="U4" s="3">
        <f t="shared" si="2"/>
        <v>0.54597172267656013</v>
      </c>
    </row>
    <row r="5" spans="1:21" x14ac:dyDescent="0.35">
      <c r="A5" s="1">
        <v>5175898</v>
      </c>
      <c r="B5" s="1" t="str">
        <f>_xlfn.XLOOKUP($A5,rosters!$F:$F,rosters!$M:$M)</f>
        <v>Jacob Beccles</v>
      </c>
      <c r="C5" s="1" t="str">
        <f>_xlfn.XLOOKUP($A5,rosters!$F:$F,rosters!$H:$H)</f>
        <v>G</v>
      </c>
      <c r="D5" s="1" t="str">
        <f>_xlfn.XLOOKUP($A5,rosters!$F:$F,rosters!$N:$N)</f>
        <v>JR</v>
      </c>
      <c r="E5" s="1">
        <v>10</v>
      </c>
      <c r="F5" s="3">
        <v>0.4</v>
      </c>
      <c r="G5" s="1">
        <v>22</v>
      </c>
      <c r="H5" s="3">
        <v>0.31818181818181801</v>
      </c>
      <c r="I5" s="1">
        <v>54</v>
      </c>
      <c r="J5" s="3">
        <v>0.38888888888888801</v>
      </c>
      <c r="K5" s="1">
        <v>131</v>
      </c>
      <c r="L5" s="3">
        <v>0.465648854961832</v>
      </c>
      <c r="M5" s="1">
        <v>54</v>
      </c>
      <c r="N5" s="3">
        <v>0.53703703703703698</v>
      </c>
      <c r="O5" s="1">
        <v>26</v>
      </c>
      <c r="P5" s="3">
        <v>0.42307692307692302</v>
      </c>
      <c r="Q5" s="1">
        <v>10</v>
      </c>
      <c r="R5" s="3">
        <v>0.3</v>
      </c>
      <c r="S5" s="3">
        <f t="shared" si="0"/>
        <v>0.13359788359788352</v>
      </c>
      <c r="T5" s="3">
        <f t="shared" si="1"/>
        <v>1.5290976684764797</v>
      </c>
      <c r="U5" s="3">
        <f t="shared" si="2"/>
        <v>0.12624023327637635</v>
      </c>
    </row>
    <row r="6" spans="1:21" x14ac:dyDescent="0.35">
      <c r="A6" s="1">
        <v>5106245</v>
      </c>
      <c r="B6" s="1" t="str">
        <f>_xlfn.XLOOKUP($A6,rosters!$F:$F,rosters!$M:$M)</f>
        <v>Josh Baldwin</v>
      </c>
      <c r="C6" s="1" t="str">
        <f>_xlfn.XLOOKUP($A6,rosters!$F:$F,rosters!$H:$H)</f>
        <v>G</v>
      </c>
      <c r="D6" s="1" t="str">
        <f>_xlfn.XLOOKUP($A6,rosters!$F:$F,rosters!$N:$N)</f>
        <v>SR</v>
      </c>
      <c r="E6" s="1">
        <v>10</v>
      </c>
      <c r="F6" s="3">
        <v>0.5</v>
      </c>
      <c r="G6" s="1">
        <v>24</v>
      </c>
      <c r="H6" s="3">
        <v>0.41666666666666602</v>
      </c>
      <c r="I6" s="1">
        <v>57</v>
      </c>
      <c r="J6" s="3">
        <v>0.45614035087719201</v>
      </c>
      <c r="K6" s="1">
        <v>119</v>
      </c>
      <c r="L6" s="3">
        <v>0.42857142857142799</v>
      </c>
      <c r="M6" s="1">
        <v>42</v>
      </c>
      <c r="N6" s="3">
        <v>0.40476190476190399</v>
      </c>
      <c r="O6" s="1">
        <v>13</v>
      </c>
      <c r="P6" s="3">
        <v>0.30769230769230699</v>
      </c>
      <c r="Q6" s="1">
        <v>4</v>
      </c>
      <c r="R6" s="3">
        <v>0.25</v>
      </c>
      <c r="S6" s="3">
        <f t="shared" si="0"/>
        <v>-4.1666666666666949E-2</v>
      </c>
      <c r="T6" s="3">
        <f t="shared" si="1"/>
        <v>-0.45452967144315781</v>
      </c>
      <c r="U6" s="3">
        <f t="shared" si="2"/>
        <v>0.64944764086358675</v>
      </c>
    </row>
    <row r="7" spans="1:21" x14ac:dyDescent="0.35">
      <c r="A7" s="1">
        <v>5176404</v>
      </c>
      <c r="B7" s="1" t="str">
        <f>_xlfn.XLOOKUP($A7,rosters!$F:$F,rosters!$M:$M)</f>
        <v>Kaspar Sepp</v>
      </c>
      <c r="C7" s="1" t="str">
        <f>_xlfn.XLOOKUP($A7,rosters!$F:$F,rosters!$H:$H)</f>
        <v>F</v>
      </c>
      <c r="D7" s="1" t="str">
        <f>_xlfn.XLOOKUP($A7,rosters!$F:$F,rosters!$N:$N)</f>
        <v>JR</v>
      </c>
      <c r="E7" s="1">
        <v>3</v>
      </c>
      <c r="F7" s="3">
        <v>0</v>
      </c>
      <c r="G7" s="1">
        <v>10</v>
      </c>
      <c r="H7" s="3">
        <v>0.4</v>
      </c>
      <c r="I7" s="1">
        <v>35</v>
      </c>
      <c r="J7" s="3">
        <v>0.51428571428571401</v>
      </c>
      <c r="K7" s="1">
        <v>86</v>
      </c>
      <c r="L7" s="3">
        <v>0.47674418604651098</v>
      </c>
      <c r="M7" s="1">
        <v>29</v>
      </c>
      <c r="N7" s="3">
        <v>0.48275862068965503</v>
      </c>
      <c r="O7" s="1">
        <v>9</v>
      </c>
      <c r="P7" s="3">
        <v>0.55555555555555503</v>
      </c>
      <c r="Q7" s="1">
        <v>1</v>
      </c>
      <c r="R7" s="3">
        <v>0</v>
      </c>
      <c r="S7" s="3">
        <f t="shared" si="0"/>
        <v>1.149425287356423E-2</v>
      </c>
      <c r="T7" s="3">
        <f t="shared" si="1"/>
        <v>0.10659331604018989</v>
      </c>
      <c r="U7" s="3">
        <f t="shared" si="2"/>
        <v>0.9151116214009325</v>
      </c>
    </row>
    <row r="8" spans="1:21" x14ac:dyDescent="0.35">
      <c r="A8" s="1">
        <v>4684840</v>
      </c>
      <c r="B8" s="1" t="str">
        <f>_xlfn.XLOOKUP($A8,rosters!$F:$F,rosters!$M:$M)</f>
        <v>DJ Nix</v>
      </c>
      <c r="C8" s="1" t="str">
        <f>_xlfn.XLOOKUP($A8,rosters!$F:$F,rosters!$H:$H)</f>
        <v>F</v>
      </c>
      <c r="D8" s="1" t="str">
        <f>_xlfn.XLOOKUP($A8,rosters!$F:$F,rosters!$N:$N)</f>
        <v>SR</v>
      </c>
      <c r="E8" s="1">
        <v>6</v>
      </c>
      <c r="F8" s="3">
        <v>0.5</v>
      </c>
      <c r="G8" s="1">
        <v>15</v>
      </c>
      <c r="H8" s="3">
        <v>0.53333333333333299</v>
      </c>
      <c r="I8" s="1">
        <v>33</v>
      </c>
      <c r="J8" s="3">
        <v>0.36363636363636298</v>
      </c>
      <c r="K8" s="1">
        <v>75</v>
      </c>
      <c r="L8" s="3">
        <v>0.413333333333333</v>
      </c>
      <c r="M8" s="1">
        <v>21</v>
      </c>
      <c r="N8" s="3">
        <v>0.52380952380952295</v>
      </c>
      <c r="O8" s="1">
        <v>8</v>
      </c>
      <c r="P8" s="3">
        <v>0.5</v>
      </c>
      <c r="Q8" s="1">
        <v>3</v>
      </c>
      <c r="R8" s="3">
        <v>0.66666666666666596</v>
      </c>
      <c r="S8" s="3">
        <f t="shared" si="0"/>
        <v>0.18831168831168735</v>
      </c>
      <c r="T8" s="3">
        <f t="shared" si="1"/>
        <v>1.6308270590745841</v>
      </c>
      <c r="U8" s="3">
        <f t="shared" si="2"/>
        <v>0.10292681611512444</v>
      </c>
    </row>
    <row r="9" spans="1:21" x14ac:dyDescent="0.35">
      <c r="A9" s="1">
        <v>5196671</v>
      </c>
      <c r="B9" s="1" t="str">
        <f>_xlfn.XLOOKUP($A9,rosters!$F:$F,rosters!$M:$M)</f>
        <v>Corbin Zentner</v>
      </c>
      <c r="C9" s="1" t="str">
        <f>_xlfn.XLOOKUP($A9,rosters!$F:$F,rosters!$H:$H)</f>
        <v>G</v>
      </c>
      <c r="D9" s="1" t="str">
        <f>_xlfn.XLOOKUP($A9,rosters!$F:$F,rosters!$N:$N)</f>
        <v>SR</v>
      </c>
      <c r="E9" s="1">
        <v>0</v>
      </c>
      <c r="F9" s="3">
        <v>0</v>
      </c>
      <c r="G9" s="1">
        <v>7</v>
      </c>
      <c r="H9" s="3">
        <v>0.42857142857142799</v>
      </c>
      <c r="I9" s="1">
        <v>18</v>
      </c>
      <c r="J9" s="3">
        <v>0.27777777777777701</v>
      </c>
      <c r="K9" s="1">
        <v>53</v>
      </c>
      <c r="L9" s="3">
        <v>0.41509433962264097</v>
      </c>
      <c r="M9" s="1">
        <v>16</v>
      </c>
      <c r="N9" s="3">
        <v>0.4375</v>
      </c>
      <c r="O9" s="1">
        <v>4</v>
      </c>
      <c r="P9" s="3">
        <v>0.5</v>
      </c>
      <c r="Q9" s="1">
        <v>1</v>
      </c>
      <c r="R9" s="3">
        <v>0</v>
      </c>
      <c r="S9" s="3">
        <f t="shared" si="0"/>
        <v>3.8306451612904149E-2</v>
      </c>
      <c r="T9" s="3">
        <f t="shared" si="1"/>
        <v>0.27887517721034916</v>
      </c>
      <c r="U9" s="3">
        <f t="shared" si="2"/>
        <v>0.78034061881764538</v>
      </c>
    </row>
    <row r="10" spans="1:21" x14ac:dyDescent="0.35">
      <c r="A10" s="1">
        <v>5241716</v>
      </c>
      <c r="B10" s="1" t="str">
        <f>_xlfn.XLOOKUP($A10,rosters!$F:$F,rosters!$M:$M)</f>
        <v>Gioacchino Panzini</v>
      </c>
      <c r="C10" s="1" t="str">
        <f>_xlfn.XLOOKUP($A10,rosters!$F:$F,rosters!$H:$H)</f>
        <v>F</v>
      </c>
      <c r="D10" s="1" t="str">
        <f>_xlfn.XLOOKUP($A10,rosters!$F:$F,rosters!$N:$N)</f>
        <v>SO</v>
      </c>
      <c r="E10" s="1">
        <v>0</v>
      </c>
      <c r="F10" s="3">
        <v>0</v>
      </c>
      <c r="G10" s="1">
        <v>1</v>
      </c>
      <c r="H10" s="3">
        <v>1</v>
      </c>
      <c r="I10" s="1">
        <v>11</v>
      </c>
      <c r="J10" s="3">
        <v>0.81818181818181801</v>
      </c>
      <c r="K10" s="1">
        <v>52</v>
      </c>
      <c r="L10" s="3">
        <v>0.69230769230769196</v>
      </c>
      <c r="M10" s="1">
        <v>28</v>
      </c>
      <c r="N10" s="3">
        <v>0.64285714285714202</v>
      </c>
      <c r="O10" s="1">
        <v>14</v>
      </c>
      <c r="P10" s="3">
        <v>0.64285714285714202</v>
      </c>
      <c r="Q10" s="1">
        <v>6</v>
      </c>
      <c r="R10" s="3">
        <v>0.83333333333333304</v>
      </c>
      <c r="S10" s="3">
        <f t="shared" si="0"/>
        <v>-0.16071428571428706</v>
      </c>
      <c r="T10" s="3">
        <f t="shared" si="1"/>
        <v>-1.1589271956848632</v>
      </c>
      <c r="U10" s="3">
        <f t="shared" si="2"/>
        <v>0.24648586243810144</v>
      </c>
    </row>
    <row r="11" spans="1:21" x14ac:dyDescent="0.35">
      <c r="A11" s="1">
        <v>5175897</v>
      </c>
      <c r="B11" s="1" t="str">
        <f>_xlfn.XLOOKUP($A11,rosters!$F:$F,rosters!$M:$M)</f>
        <v>Ian Imegwu</v>
      </c>
      <c r="C11" s="1" t="str">
        <f>_xlfn.XLOOKUP($A11,rosters!$F:$F,rosters!$H:$H)</f>
        <v>F</v>
      </c>
      <c r="D11" s="1" t="str">
        <f>_xlfn.XLOOKUP($A11,rosters!$F:$F,rosters!$N:$N)</f>
        <v>JR</v>
      </c>
      <c r="E11" s="1">
        <v>3</v>
      </c>
      <c r="F11" s="3">
        <v>0.33333333333333298</v>
      </c>
      <c r="G11" s="1">
        <v>7</v>
      </c>
      <c r="H11" s="3">
        <v>0.42857142857142799</v>
      </c>
      <c r="I11" s="1">
        <v>21</v>
      </c>
      <c r="J11" s="3">
        <v>0.57142857142857095</v>
      </c>
      <c r="K11" s="1">
        <v>52</v>
      </c>
      <c r="L11" s="3">
        <v>0.48076923076923</v>
      </c>
      <c r="M11" s="1">
        <v>16</v>
      </c>
      <c r="N11" s="3">
        <v>0.3125</v>
      </c>
      <c r="O11" s="1">
        <v>3</v>
      </c>
      <c r="P11" s="3">
        <v>0</v>
      </c>
      <c r="Q11" s="1">
        <v>0</v>
      </c>
      <c r="R11" s="3">
        <v>0</v>
      </c>
      <c r="S11" s="3">
        <f t="shared" si="0"/>
        <v>-0.32407407407407202</v>
      </c>
      <c r="T11" s="3">
        <f t="shared" si="1"/>
        <v>-2.3369313822451634</v>
      </c>
      <c r="U11" s="3">
        <f t="shared" si="2"/>
        <v>1.9442752261479068E-2</v>
      </c>
    </row>
    <row r="12" spans="1:21" x14ac:dyDescent="0.35">
      <c r="A12" s="1">
        <v>5241717</v>
      </c>
      <c r="B12" s="1" t="str">
        <f>_xlfn.XLOOKUP($A12,rosters!$F:$F,rosters!$M:$M)</f>
        <v>Mateen Rafiq</v>
      </c>
      <c r="C12" s="1" t="str">
        <f>_xlfn.XLOOKUP($A12,rosters!$F:$F,rosters!$H:$H)</f>
        <v>G</v>
      </c>
      <c r="D12" s="1" t="str">
        <f>_xlfn.XLOOKUP($A12,rosters!$F:$F,rosters!$N:$N)</f>
        <v>SO</v>
      </c>
      <c r="E12" s="1">
        <v>3</v>
      </c>
      <c r="F12" s="3">
        <v>0.33333333333333298</v>
      </c>
      <c r="G12" s="1">
        <v>9</v>
      </c>
      <c r="H12" s="3">
        <v>0.44444444444444398</v>
      </c>
      <c r="I12" s="1">
        <v>19</v>
      </c>
      <c r="J12" s="3">
        <v>0.42105263157894701</v>
      </c>
      <c r="K12" s="1">
        <v>50</v>
      </c>
      <c r="L12" s="3">
        <v>0.48</v>
      </c>
      <c r="M12" s="1">
        <v>18</v>
      </c>
      <c r="N12" s="3">
        <v>0.5</v>
      </c>
      <c r="O12" s="1">
        <v>6</v>
      </c>
      <c r="P12" s="3">
        <v>0.5</v>
      </c>
      <c r="Q12" s="1">
        <v>1</v>
      </c>
      <c r="R12" s="3">
        <v>1</v>
      </c>
      <c r="S12" s="3">
        <f t="shared" si="0"/>
        <v>3.846153846153845E-2</v>
      </c>
      <c r="T12" s="3">
        <f t="shared" si="1"/>
        <v>0.27196414661021051</v>
      </c>
      <c r="U12" s="3">
        <f t="shared" si="2"/>
        <v>0.78564958745417446</v>
      </c>
    </row>
    <row r="13" spans="1:21" x14ac:dyDescent="0.35">
      <c r="A13" s="1">
        <v>5241718</v>
      </c>
      <c r="B13" s="1" t="str">
        <f>_xlfn.XLOOKUP($A13,rosters!$F:$F,rosters!$M:$M)</f>
        <v>Anthony Nimani</v>
      </c>
      <c r="C13" s="1" t="str">
        <f>_xlfn.XLOOKUP($A13,rosters!$F:$F,rosters!$H:$H)</f>
        <v>G</v>
      </c>
      <c r="D13" s="1" t="str">
        <f>_xlfn.XLOOKUP($A13,rosters!$F:$F,rosters!$N:$N)</f>
        <v>SO</v>
      </c>
      <c r="E13" s="1">
        <v>0</v>
      </c>
      <c r="F13" s="3">
        <v>0</v>
      </c>
      <c r="G13" s="1">
        <v>1</v>
      </c>
      <c r="H13" s="3">
        <v>1</v>
      </c>
      <c r="I13" s="1">
        <v>7</v>
      </c>
      <c r="J13" s="3">
        <v>0.85714285714285698</v>
      </c>
      <c r="K13" s="1">
        <v>44</v>
      </c>
      <c r="L13" s="3">
        <v>0.65909090909090895</v>
      </c>
      <c r="M13" s="1">
        <v>22</v>
      </c>
      <c r="N13" s="3">
        <v>0.54545454545454497</v>
      </c>
      <c r="O13" s="1">
        <v>7</v>
      </c>
      <c r="P13" s="3">
        <v>0.57142857142857095</v>
      </c>
      <c r="Q13" s="1">
        <v>1</v>
      </c>
      <c r="R13" s="3">
        <v>1</v>
      </c>
      <c r="S13" s="3">
        <f t="shared" si="0"/>
        <v>-0.33333333333333431</v>
      </c>
      <c r="T13" s="3">
        <f t="shared" si="1"/>
        <v>-2.2110831935702731</v>
      </c>
      <c r="U13" s="3">
        <f t="shared" si="2"/>
        <v>2.7030076547772008E-2</v>
      </c>
    </row>
    <row r="14" spans="1:21" x14ac:dyDescent="0.35">
      <c r="A14" s="1">
        <v>5313688</v>
      </c>
      <c r="B14" s="1" t="str">
        <f>_xlfn.XLOOKUP($A14,rosters!$F:$F,rosters!$M:$M)</f>
        <v>DaMaryon Fishburn</v>
      </c>
      <c r="C14" s="1" t="str">
        <f>_xlfn.XLOOKUP($A14,rosters!$F:$F,rosters!$H:$H)</f>
        <v>G</v>
      </c>
      <c r="D14" s="1" t="str">
        <f>_xlfn.XLOOKUP($A14,rosters!$F:$F,rosters!$N:$N)</f>
        <v>JR</v>
      </c>
      <c r="E14" s="1">
        <v>0</v>
      </c>
      <c r="F14" s="3">
        <v>0</v>
      </c>
      <c r="G14" s="1">
        <v>0</v>
      </c>
      <c r="H14" s="3">
        <v>0</v>
      </c>
      <c r="I14" s="1">
        <v>4</v>
      </c>
      <c r="J14" s="3">
        <v>1</v>
      </c>
      <c r="K14" s="1">
        <v>26</v>
      </c>
      <c r="L14" s="3">
        <v>0.69230769230769196</v>
      </c>
      <c r="M14" s="1">
        <v>11</v>
      </c>
      <c r="N14" s="3">
        <v>0.72727272727272696</v>
      </c>
      <c r="O14" s="1">
        <v>4</v>
      </c>
      <c r="P14" s="3">
        <v>0.5</v>
      </c>
      <c r="Q14" s="1">
        <v>1</v>
      </c>
      <c r="R14" s="3">
        <v>0</v>
      </c>
      <c r="S14" s="3">
        <f t="shared" si="0"/>
        <v>0.11363636363636349</v>
      </c>
      <c r="T14" s="3">
        <f t="shared" si="1"/>
        <v>0.57943403563554297</v>
      </c>
      <c r="U14" s="3">
        <f t="shared" si="2"/>
        <v>0.56229634409115903</v>
      </c>
    </row>
    <row r="15" spans="1:21" x14ac:dyDescent="0.35">
      <c r="A15" s="1">
        <v>5313690</v>
      </c>
      <c r="B15" s="1" t="str">
        <f>_xlfn.XLOOKUP($A15,rosters!$F:$F,rosters!$M:$M)</f>
        <v>Jax Abalos</v>
      </c>
      <c r="C15" s="1" t="str">
        <f>_xlfn.XLOOKUP($A15,rosters!$F:$F,rosters!$H:$H)</f>
        <v>F</v>
      </c>
      <c r="D15" s="1" t="str">
        <f>_xlfn.XLOOKUP($A15,rosters!$F:$F,rosters!$N:$N)</f>
        <v>FR</v>
      </c>
      <c r="E15" s="1">
        <v>5</v>
      </c>
      <c r="F15" s="3">
        <v>0.4</v>
      </c>
      <c r="G15" s="1">
        <v>8</v>
      </c>
      <c r="H15" s="3">
        <v>0.375</v>
      </c>
      <c r="I15" s="1">
        <v>11</v>
      </c>
      <c r="J15" s="3">
        <v>0.27272727272727199</v>
      </c>
      <c r="K15" s="1">
        <v>24</v>
      </c>
      <c r="L15" s="3">
        <v>0.45833333333333298</v>
      </c>
      <c r="M15" s="1">
        <v>6</v>
      </c>
      <c r="N15" s="3">
        <v>0.66666666666666596</v>
      </c>
      <c r="O15" s="1">
        <v>2</v>
      </c>
      <c r="P15" s="3">
        <v>0.5</v>
      </c>
      <c r="Q15" s="1">
        <v>0</v>
      </c>
      <c r="R15" s="3">
        <v>0</v>
      </c>
      <c r="S15" s="3">
        <f t="shared" si="0"/>
        <v>0.38461538461538386</v>
      </c>
      <c r="T15" s="3">
        <f t="shared" si="1"/>
        <v>1.8842228790639792</v>
      </c>
      <c r="U15" s="3">
        <f t="shared" si="2"/>
        <v>5.9534834058263097E-2</v>
      </c>
    </row>
    <row r="16" spans="1:21" x14ac:dyDescent="0.35">
      <c r="A16" s="1">
        <v>5313691</v>
      </c>
      <c r="B16" s="1" t="str">
        <f>_xlfn.XLOOKUP($A16,rosters!$F:$F,rosters!$M:$M)</f>
        <v>Ryan Burbach</v>
      </c>
      <c r="C16" s="1" t="str">
        <f>_xlfn.XLOOKUP($A16,rosters!$F:$F,rosters!$H:$H)</f>
        <v>G</v>
      </c>
      <c r="D16" s="1" t="str">
        <f>_xlfn.XLOOKUP($A16,rosters!$F:$F,rosters!$N:$N)</f>
        <v>FR</v>
      </c>
      <c r="E16" s="1">
        <v>4</v>
      </c>
      <c r="F16" s="3">
        <v>0.25</v>
      </c>
      <c r="G16" s="1">
        <v>7</v>
      </c>
      <c r="H16" s="3">
        <v>0.28571428571428498</v>
      </c>
      <c r="I16" s="1">
        <v>11</v>
      </c>
      <c r="J16" s="3">
        <v>0.27272727272727199</v>
      </c>
      <c r="K16" s="1">
        <v>19</v>
      </c>
      <c r="L16" s="3">
        <v>0.26315789473684198</v>
      </c>
      <c r="M16" s="1">
        <v>4</v>
      </c>
      <c r="N16" s="3">
        <v>0.5</v>
      </c>
      <c r="O16" s="1">
        <v>1</v>
      </c>
      <c r="P16" s="3">
        <v>0</v>
      </c>
      <c r="Q16" s="1">
        <v>0</v>
      </c>
      <c r="R16" s="3">
        <v>0</v>
      </c>
      <c r="S16" s="3">
        <f t="shared" si="0"/>
        <v>0.32142857142857156</v>
      </c>
      <c r="T16" s="3">
        <f t="shared" si="1"/>
        <v>1.4010746604237887</v>
      </c>
      <c r="U16" s="3">
        <f t="shared" si="2"/>
        <v>0.16119174813201398</v>
      </c>
    </row>
    <row r="17" spans="1:21" x14ac:dyDescent="0.35">
      <c r="A17" s="1">
        <v>5241719</v>
      </c>
      <c r="B17" s="1" t="str">
        <f>_xlfn.XLOOKUP($A17,rosters!$F:$F,rosters!$M:$M)</f>
        <v>Ty Iwanonkiw</v>
      </c>
      <c r="C17" s="1" t="str">
        <f>_xlfn.XLOOKUP($A17,rosters!$F:$F,rosters!$H:$H)</f>
        <v>F</v>
      </c>
      <c r="D17" s="1" t="str">
        <f>_xlfn.XLOOKUP($A17,rosters!$F:$F,rosters!$N:$N)</f>
        <v>SO</v>
      </c>
      <c r="E17" s="1">
        <v>0</v>
      </c>
      <c r="F17" s="3">
        <v>0</v>
      </c>
      <c r="G17" s="1">
        <v>1</v>
      </c>
      <c r="H17" s="3">
        <v>1</v>
      </c>
      <c r="I17" s="1">
        <v>3</v>
      </c>
      <c r="J17" s="3">
        <v>0.33333333333333298</v>
      </c>
      <c r="K17" s="1">
        <v>9</v>
      </c>
      <c r="L17" s="3">
        <v>0.44444444444444398</v>
      </c>
      <c r="M17" s="1">
        <v>3</v>
      </c>
      <c r="N17" s="3">
        <v>0.33333333333333298</v>
      </c>
      <c r="O17" s="1">
        <v>1</v>
      </c>
      <c r="P17" s="3">
        <v>0</v>
      </c>
      <c r="Q17" s="1">
        <v>0</v>
      </c>
      <c r="R17" s="3">
        <v>0</v>
      </c>
      <c r="S17" s="3">
        <f t="shared" si="0"/>
        <v>-0.19999999999999957</v>
      </c>
      <c r="T17" s="3">
        <f t="shared" si="1"/>
        <v>-0.59999999999999876</v>
      </c>
      <c r="U17" s="3">
        <f t="shared" si="2"/>
        <v>0.54850623550014799</v>
      </c>
    </row>
    <row r="18" spans="1:21" x14ac:dyDescent="0.35">
      <c r="A18" s="1">
        <v>5174972</v>
      </c>
      <c r="B18" s="1" t="str">
        <f>_xlfn.XLOOKUP($A18,rosters!$F:$F,rosters!$M:$M)</f>
        <v>AJ LaBeau</v>
      </c>
      <c r="C18" s="1" t="str">
        <f>_xlfn.XLOOKUP($A18,rosters!$F:$F,rosters!$H:$H)</f>
        <v>F</v>
      </c>
      <c r="D18" s="1" t="str">
        <f>_xlfn.XLOOKUP($A18,rosters!$F:$F,rosters!$N:$N)</f>
        <v>JR</v>
      </c>
      <c r="E18" s="1">
        <v>0</v>
      </c>
      <c r="F18" s="3">
        <v>0</v>
      </c>
      <c r="G18" s="1">
        <v>1</v>
      </c>
      <c r="H18" s="3">
        <v>0</v>
      </c>
      <c r="I18" s="1">
        <v>2</v>
      </c>
      <c r="J18" s="3">
        <v>0</v>
      </c>
      <c r="K18" s="1">
        <v>9</v>
      </c>
      <c r="L18" s="3">
        <v>0.33333333333333298</v>
      </c>
      <c r="M18" s="1">
        <v>1</v>
      </c>
      <c r="N18" s="3">
        <v>0</v>
      </c>
      <c r="O18" s="1">
        <v>0</v>
      </c>
      <c r="P18" s="3">
        <v>0</v>
      </c>
      <c r="Q18" s="1">
        <v>0</v>
      </c>
      <c r="R18" s="3">
        <v>0</v>
      </c>
      <c r="S18" s="3">
        <f t="shared" si="0"/>
        <v>-0.49999999999999922</v>
      </c>
      <c r="T18" s="3">
        <f t="shared" si="1"/>
        <v>-1.4999999999999978</v>
      </c>
      <c r="U18" s="3">
        <f t="shared" si="2"/>
        <v>0.13361440253771661</v>
      </c>
    </row>
    <row r="19" spans="1:21" x14ac:dyDescent="0.35">
      <c r="A19" s="1">
        <v>5108938</v>
      </c>
      <c r="B19" s="1" t="str">
        <f>_xlfn.XLOOKUP($A19,rosters!$F:$F,rosters!$M:$M)</f>
        <v>Emily Pape</v>
      </c>
      <c r="C19" s="1" t="str">
        <f>_xlfn.XLOOKUP($A19,rosters!$F:$F,rosters!$H:$H)</f>
        <v>F</v>
      </c>
      <c r="D19" s="1" t="str">
        <f>_xlfn.XLOOKUP($A19,rosters!$F:$F,rosters!$N:$N)</f>
        <v>SR</v>
      </c>
      <c r="E19" s="1">
        <v>36</v>
      </c>
      <c r="F19" s="6">
        <v>0.41666666666666602</v>
      </c>
      <c r="G19" s="1">
        <v>79</v>
      </c>
      <c r="H19" s="3">
        <v>0.379746835443038</v>
      </c>
      <c r="I19" s="1">
        <v>159</v>
      </c>
      <c r="J19" s="3">
        <v>0.38993710691823902</v>
      </c>
      <c r="K19" s="1">
        <v>283</v>
      </c>
      <c r="L19" s="6">
        <v>0.34628975265017597</v>
      </c>
      <c r="M19" s="1">
        <v>97</v>
      </c>
      <c r="N19" s="6">
        <v>0.28865979381443202</v>
      </c>
      <c r="O19" s="1">
        <v>28</v>
      </c>
      <c r="P19" s="6">
        <v>0.32142857142857101</v>
      </c>
      <c r="Q19" s="1">
        <v>9</v>
      </c>
      <c r="R19" s="6">
        <v>0.33333333333333298</v>
      </c>
      <c r="S19" s="3">
        <f t="shared" si="0"/>
        <v>-8.8158261354137957E-2</v>
      </c>
      <c r="T19" s="3">
        <f t="shared" si="1"/>
        <v>-1.4830515060949878</v>
      </c>
      <c r="U19" s="3">
        <f t="shared" si="2"/>
        <v>0.13806072678645509</v>
      </c>
    </row>
    <row r="20" spans="1:21" x14ac:dyDescent="0.35">
      <c r="A20" s="1">
        <v>5176408</v>
      </c>
      <c r="B20" s="1" t="str">
        <f>_xlfn.XLOOKUP($A20,rosters!$F:$F,rosters!$M:$M)</f>
        <v>Rachel Kaus</v>
      </c>
      <c r="C20" s="1" t="str">
        <f>_xlfn.XLOOKUP($A20,rosters!$F:$F,rosters!$H:$H)</f>
        <v>G</v>
      </c>
      <c r="D20" s="1" t="str">
        <f>_xlfn.XLOOKUP($A20,rosters!$F:$F,rosters!$N:$N)</f>
        <v>JR</v>
      </c>
      <c r="E20" s="1">
        <v>31</v>
      </c>
      <c r="F20" s="6">
        <v>0.51612903225806395</v>
      </c>
      <c r="G20" s="1">
        <v>67</v>
      </c>
      <c r="H20" s="6">
        <v>0.43283582089552203</v>
      </c>
      <c r="I20" s="1">
        <v>138</v>
      </c>
      <c r="J20" s="6">
        <v>0.434782608695652</v>
      </c>
      <c r="K20" s="1">
        <v>275</v>
      </c>
      <c r="L20" s="6">
        <v>0.43636363636363601</v>
      </c>
      <c r="M20" s="1">
        <v>110</v>
      </c>
      <c r="N20" s="6">
        <v>0.41818181818181799</v>
      </c>
      <c r="O20" s="1">
        <v>41</v>
      </c>
      <c r="P20" s="6">
        <v>0.34146341463414598</v>
      </c>
      <c r="Q20" s="1">
        <v>10</v>
      </c>
      <c r="R20" s="3">
        <v>0.5</v>
      </c>
      <c r="S20" s="3">
        <f t="shared" si="0"/>
        <v>-3.2258064516128657E-2</v>
      </c>
      <c r="T20" s="3">
        <f t="shared" si="1"/>
        <v>-0.53493948231538091</v>
      </c>
      <c r="U20" s="3">
        <f t="shared" si="2"/>
        <v>0.59269170545037708</v>
      </c>
    </row>
    <row r="21" spans="1:21" x14ac:dyDescent="0.35">
      <c r="A21" s="1">
        <v>5176410</v>
      </c>
      <c r="B21" s="1" t="str">
        <f>_xlfn.XLOOKUP($A21,rosters!$F:$F,rosters!$M:$M)</f>
        <v>Clarke Jackson</v>
      </c>
      <c r="C21" s="1" t="str">
        <f>_xlfn.XLOOKUP($A21,rosters!$F:$F,rosters!$H:$H)</f>
        <v>G</v>
      </c>
      <c r="D21" s="1" t="str">
        <f>_xlfn.XLOOKUP($A21,rosters!$F:$F,rosters!$N:$N)</f>
        <v>JR</v>
      </c>
      <c r="E21" s="1">
        <v>17</v>
      </c>
      <c r="F21" s="6">
        <v>0.58823529411764697</v>
      </c>
      <c r="G21" s="1">
        <v>48</v>
      </c>
      <c r="H21" s="3">
        <v>0.5625</v>
      </c>
      <c r="I21" s="1">
        <v>102</v>
      </c>
      <c r="J21" s="6">
        <v>0.45098039215686198</v>
      </c>
      <c r="K21" s="1">
        <v>227</v>
      </c>
      <c r="L21" s="6">
        <v>0.46255506607929497</v>
      </c>
      <c r="M21" s="1">
        <v>98</v>
      </c>
      <c r="N21" s="6">
        <v>0.47959183673469302</v>
      </c>
      <c r="O21" s="1">
        <v>45</v>
      </c>
      <c r="P21" s="6">
        <v>0.46666666666666601</v>
      </c>
      <c r="Q21" s="1">
        <v>20</v>
      </c>
      <c r="R21" s="3">
        <v>0.45</v>
      </c>
      <c r="S21" s="3">
        <f t="shared" si="0"/>
        <v>3.1699565071929087E-2</v>
      </c>
      <c r="T21" s="3">
        <f t="shared" si="1"/>
        <v>0.47760210494210442</v>
      </c>
      <c r="U21" s="3">
        <f t="shared" si="2"/>
        <v>0.63293343241251265</v>
      </c>
    </row>
    <row r="22" spans="1:21" x14ac:dyDescent="0.35">
      <c r="A22" s="1">
        <v>5241809</v>
      </c>
      <c r="B22" s="1" t="str">
        <f>_xlfn.XLOOKUP($A22,rosters!$F:$F,rosters!$M:$M)</f>
        <v>Paige Engels</v>
      </c>
      <c r="C22" s="1" t="str">
        <f>_xlfn.XLOOKUP($A22,rosters!$F:$F,rosters!$H:$H)</f>
        <v>G</v>
      </c>
      <c r="D22" s="1" t="str">
        <f>_xlfn.XLOOKUP($A22,rosters!$F:$F,rosters!$N:$N)</f>
        <v>SO</v>
      </c>
      <c r="E22" s="1">
        <v>10</v>
      </c>
      <c r="F22" s="3">
        <v>0.5</v>
      </c>
      <c r="G22" s="1">
        <v>31</v>
      </c>
      <c r="H22" s="6">
        <v>0.54838709677419295</v>
      </c>
      <c r="I22" s="1">
        <v>75</v>
      </c>
      <c r="J22" s="6">
        <v>0.413333333333333</v>
      </c>
      <c r="K22" s="1">
        <v>160</v>
      </c>
      <c r="L22" s="3">
        <v>0.4</v>
      </c>
      <c r="M22" s="1">
        <v>58</v>
      </c>
      <c r="N22" s="6">
        <v>0.32758620689655099</v>
      </c>
      <c r="O22" s="1">
        <v>17</v>
      </c>
      <c r="P22" s="6">
        <v>0.35294117647058798</v>
      </c>
      <c r="Q22" s="1">
        <v>5</v>
      </c>
      <c r="R22" s="3">
        <v>0.2</v>
      </c>
      <c r="S22" s="3">
        <f t="shared" si="0"/>
        <v>-0.12068965517241514</v>
      </c>
      <c r="T22" s="3">
        <f t="shared" si="1"/>
        <v>-1.5266168014606141</v>
      </c>
      <c r="U22" s="3">
        <f t="shared" si="2"/>
        <v>0.12685632663333424</v>
      </c>
    </row>
    <row r="23" spans="1:21" x14ac:dyDescent="0.35">
      <c r="A23" s="1">
        <v>5241811</v>
      </c>
      <c r="B23" s="1" t="str">
        <f>_xlfn.XLOOKUP($A23,rosters!$F:$F,rosters!$M:$M)</f>
        <v>Audrey Chen</v>
      </c>
      <c r="C23" s="1" t="str">
        <f>_xlfn.XLOOKUP($A23,rosters!$F:$F,rosters!$H:$H)</f>
        <v>G</v>
      </c>
      <c r="D23" s="1" t="str">
        <f>_xlfn.XLOOKUP($A23,rosters!$F:$F,rosters!$N:$N)</f>
        <v>SO</v>
      </c>
      <c r="E23" s="1">
        <v>16</v>
      </c>
      <c r="F23" s="3">
        <v>0.3125</v>
      </c>
      <c r="G23" s="1">
        <v>30</v>
      </c>
      <c r="H23" s="6">
        <v>0.33333333333333298</v>
      </c>
      <c r="I23" s="1">
        <v>62</v>
      </c>
      <c r="J23" s="6">
        <v>0.35483870967741898</v>
      </c>
      <c r="K23" s="1">
        <v>118</v>
      </c>
      <c r="L23" s="6">
        <v>0.34745762711864397</v>
      </c>
      <c r="M23" s="1">
        <v>31</v>
      </c>
      <c r="N23" s="6">
        <v>0.35483870967741898</v>
      </c>
      <c r="O23" s="1">
        <v>8</v>
      </c>
      <c r="P23" s="3">
        <v>0.375</v>
      </c>
      <c r="Q23" s="1">
        <v>1</v>
      </c>
      <c r="R23" s="3">
        <v>1</v>
      </c>
      <c r="S23" s="3">
        <f t="shared" si="0"/>
        <v>1.1311269375785049E-2</v>
      </c>
      <c r="T23" s="3">
        <f t="shared" si="1"/>
        <v>0.12287183630598827</v>
      </c>
      <c r="U23" s="3">
        <f t="shared" si="2"/>
        <v>0.90220858797337589</v>
      </c>
    </row>
    <row r="24" spans="1:21" x14ac:dyDescent="0.35">
      <c r="A24" s="1">
        <v>5313307</v>
      </c>
      <c r="B24" s="1" t="str">
        <f>_xlfn.XLOOKUP($A24,rosters!$F:$F,rosters!$M:$M)</f>
        <v>Ally Pape</v>
      </c>
      <c r="C24" s="1" t="str">
        <f>_xlfn.XLOOKUP($A24,rosters!$F:$F,rosters!$H:$H)</f>
        <v>G</v>
      </c>
      <c r="D24" s="1" t="str">
        <f>_xlfn.XLOOKUP($A24,rosters!$F:$F,rosters!$N:$N)</f>
        <v>FR</v>
      </c>
      <c r="E24" s="1">
        <v>4</v>
      </c>
      <c r="F24" s="3">
        <v>0</v>
      </c>
      <c r="G24" s="1">
        <v>12</v>
      </c>
      <c r="H24" s="6">
        <v>0.33333333333333298</v>
      </c>
      <c r="I24" s="1">
        <v>34</v>
      </c>
      <c r="J24" s="6">
        <v>0.35294117647058798</v>
      </c>
      <c r="K24" s="1">
        <v>82</v>
      </c>
      <c r="L24" s="6">
        <v>0.353658536585365</v>
      </c>
      <c r="M24" s="1">
        <v>23</v>
      </c>
      <c r="N24" s="6">
        <v>0.26086956521739102</v>
      </c>
      <c r="O24" s="1">
        <v>5</v>
      </c>
      <c r="P24" s="3">
        <v>0.6</v>
      </c>
      <c r="Q24" s="1">
        <v>3</v>
      </c>
      <c r="R24" s="6">
        <v>0.66666666666666596</v>
      </c>
      <c r="S24" s="3">
        <f t="shared" si="0"/>
        <v>-0.14356029532403497</v>
      </c>
      <c r="T24" s="3">
        <f t="shared" si="1"/>
        <v>-1.2999937647038848</v>
      </c>
      <c r="U24" s="3">
        <f t="shared" si="2"/>
        <v>0.1936031062477146</v>
      </c>
    </row>
    <row r="25" spans="1:21" x14ac:dyDescent="0.35">
      <c r="A25" s="1">
        <v>5241812</v>
      </c>
      <c r="B25" s="1" t="str">
        <f>_xlfn.XLOOKUP($A25,rosters!$F:$F,rosters!$M:$M)</f>
        <v>Kelsey Langston</v>
      </c>
      <c r="C25" s="1" t="str">
        <f>_xlfn.XLOOKUP($A25,rosters!$F:$F,rosters!$H:$H)</f>
        <v>G</v>
      </c>
      <c r="D25" s="1" t="str">
        <f>_xlfn.XLOOKUP($A25,rosters!$F:$F,rosters!$N:$N)</f>
        <v>SO</v>
      </c>
      <c r="E25" s="1">
        <v>3</v>
      </c>
      <c r="F25" s="6">
        <v>0.33333333333333298</v>
      </c>
      <c r="G25" s="1">
        <v>17</v>
      </c>
      <c r="H25" s="6">
        <v>0.35294117647058798</v>
      </c>
      <c r="I25" s="1">
        <v>38</v>
      </c>
      <c r="J25" s="6">
        <v>0.28947368421052599</v>
      </c>
      <c r="K25" s="1">
        <v>80</v>
      </c>
      <c r="L25" s="3">
        <v>0.33750000000000002</v>
      </c>
      <c r="M25" s="1">
        <v>15</v>
      </c>
      <c r="N25" s="3">
        <v>0.4</v>
      </c>
      <c r="O25" s="1">
        <v>4</v>
      </c>
      <c r="P25" s="3">
        <v>0.5</v>
      </c>
      <c r="Q25" s="1">
        <v>1</v>
      </c>
      <c r="R25" s="3">
        <v>1</v>
      </c>
      <c r="S25" s="3">
        <f t="shared" si="0"/>
        <v>9.4339622641509399E-2</v>
      </c>
      <c r="T25" s="3">
        <f t="shared" si="1"/>
        <v>0.84379923679237323</v>
      </c>
      <c r="U25" s="3">
        <f t="shared" si="2"/>
        <v>0.39878160207138835</v>
      </c>
    </row>
    <row r="26" spans="1:21" x14ac:dyDescent="0.35">
      <c r="A26" s="1">
        <v>5313305</v>
      </c>
      <c r="B26" s="1" t="str">
        <f>_xlfn.XLOOKUP($A26,rosters!$F:$F,rosters!$M:$M)</f>
        <v>Grace Renners</v>
      </c>
      <c r="C26" s="1" t="str">
        <f>_xlfn.XLOOKUP($A26,rosters!$F:$F,rosters!$H:$H)</f>
        <v>F</v>
      </c>
      <c r="D26" s="1" t="str">
        <f>_xlfn.XLOOKUP($A26,rosters!$F:$F,rosters!$N:$N)</f>
        <v>FR</v>
      </c>
      <c r="E26" s="1">
        <v>1</v>
      </c>
      <c r="F26" s="3">
        <v>0</v>
      </c>
      <c r="G26" s="1">
        <v>3</v>
      </c>
      <c r="H26" s="6">
        <v>0.33333333333333298</v>
      </c>
      <c r="I26" s="1">
        <v>19</v>
      </c>
      <c r="J26" s="6">
        <v>0.42105263157894701</v>
      </c>
      <c r="K26" s="1">
        <v>57</v>
      </c>
      <c r="L26" s="6">
        <v>0.42105263157894701</v>
      </c>
      <c r="M26" s="1">
        <v>16</v>
      </c>
      <c r="N26" s="3">
        <v>0.4375</v>
      </c>
      <c r="O26" s="1">
        <v>5</v>
      </c>
      <c r="P26" s="3">
        <v>0.2</v>
      </c>
      <c r="Q26" s="1">
        <v>1</v>
      </c>
      <c r="R26" s="3">
        <v>0</v>
      </c>
      <c r="S26" s="3">
        <f t="shared" si="0"/>
        <v>2.8409090909091553E-2</v>
      </c>
      <c r="T26" s="3">
        <f t="shared" si="1"/>
        <v>0.21448393282019662</v>
      </c>
      <c r="U26" s="3">
        <f t="shared" si="2"/>
        <v>0.83016969518581307</v>
      </c>
    </row>
    <row r="27" spans="1:21" x14ac:dyDescent="0.35">
      <c r="A27" s="1">
        <v>5313306</v>
      </c>
      <c r="B27" s="1" t="str">
        <f>_xlfn.XLOOKUP($A27,rosters!$F:$F,rosters!$M:$M)</f>
        <v>Willa Chinn</v>
      </c>
      <c r="C27" s="1" t="str">
        <f>_xlfn.XLOOKUP($A27,rosters!$F:$F,rosters!$H:$H)</f>
        <v>G</v>
      </c>
      <c r="D27" s="1" t="str">
        <f>_xlfn.XLOOKUP($A27,rosters!$F:$F,rosters!$N:$N)</f>
        <v>FR</v>
      </c>
      <c r="E27" s="1">
        <v>2</v>
      </c>
      <c r="F27" s="3">
        <v>0.5</v>
      </c>
      <c r="G27" s="1">
        <v>8</v>
      </c>
      <c r="H27" s="3">
        <v>0.5</v>
      </c>
      <c r="I27" s="1">
        <v>21</v>
      </c>
      <c r="J27" s="6">
        <v>0.33333333333333298</v>
      </c>
      <c r="K27" s="1">
        <v>39</v>
      </c>
      <c r="L27" s="6">
        <v>0.23076923076923</v>
      </c>
      <c r="M27" s="1">
        <v>8</v>
      </c>
      <c r="N27" s="3">
        <v>0.125</v>
      </c>
      <c r="O27" s="1">
        <v>1</v>
      </c>
      <c r="P27" s="3">
        <v>0</v>
      </c>
      <c r="Q27" s="1">
        <v>0</v>
      </c>
      <c r="R27" s="3">
        <v>0</v>
      </c>
      <c r="S27" s="3">
        <f t="shared" si="0"/>
        <v>-0.13749999999999887</v>
      </c>
      <c r="T27" s="3">
        <f t="shared" si="1"/>
        <v>-0.85868722477977277</v>
      </c>
      <c r="U27" s="3">
        <f t="shared" si="2"/>
        <v>0.39051310055495891</v>
      </c>
    </row>
    <row r="28" spans="1:21" x14ac:dyDescent="0.35">
      <c r="A28" s="1">
        <v>5313304</v>
      </c>
      <c r="B28" s="1" t="str">
        <f>_xlfn.XLOOKUP($A28,rosters!$F:$F,rosters!$M:$M)</f>
        <v>Ashley Childers</v>
      </c>
      <c r="C28" s="1" t="str">
        <f>_xlfn.XLOOKUP($A28,rosters!$F:$F,rosters!$H:$H)</f>
        <v>F</v>
      </c>
      <c r="D28" s="1" t="str">
        <f>_xlfn.XLOOKUP($A28,rosters!$F:$F,rosters!$N:$N)</f>
        <v>FR</v>
      </c>
      <c r="E28" s="1">
        <v>0</v>
      </c>
      <c r="F28" s="3">
        <v>0</v>
      </c>
      <c r="G28" s="1">
        <v>1</v>
      </c>
      <c r="H28" s="3">
        <v>1</v>
      </c>
      <c r="I28" s="1">
        <v>9</v>
      </c>
      <c r="J28" s="6">
        <v>0.55555555555555503</v>
      </c>
      <c r="K28" s="1">
        <v>26</v>
      </c>
      <c r="L28" s="6">
        <v>0.42307692307692302</v>
      </c>
      <c r="M28" s="1">
        <v>8</v>
      </c>
      <c r="N28" s="3">
        <v>0.375</v>
      </c>
      <c r="O28" s="1">
        <v>3</v>
      </c>
      <c r="P28" s="6">
        <v>0.33333333333333298</v>
      </c>
      <c r="Q28" s="1">
        <v>1</v>
      </c>
      <c r="R28" s="3">
        <v>0</v>
      </c>
      <c r="S28" s="3">
        <f t="shared" si="0"/>
        <v>-8.3333333333333134E-2</v>
      </c>
      <c r="T28" s="3">
        <f t="shared" si="1"/>
        <v>-0.42491829279939769</v>
      </c>
      <c r="U28" s="3">
        <f t="shared" si="2"/>
        <v>0.67089623899509432</v>
      </c>
    </row>
    <row r="29" spans="1:21" x14ac:dyDescent="0.35">
      <c r="A29" s="1">
        <v>5313303</v>
      </c>
      <c r="B29" s="1" t="str">
        <f>_xlfn.XLOOKUP($A29,rosters!$F:$F,rosters!$M:$M)</f>
        <v>Trinity Jones</v>
      </c>
      <c r="C29" s="1" t="str">
        <f>_xlfn.XLOOKUP($A29,rosters!$F:$F,rosters!$H:$H)</f>
        <v>G</v>
      </c>
      <c r="D29" s="1" t="str">
        <f>_xlfn.XLOOKUP($A29,rosters!$F:$F,rosters!$N:$N)</f>
        <v>FR</v>
      </c>
      <c r="E29" s="1">
        <v>0</v>
      </c>
      <c r="F29" s="3">
        <v>0</v>
      </c>
      <c r="G29" s="1">
        <v>1</v>
      </c>
      <c r="H29" s="3">
        <v>0</v>
      </c>
      <c r="I29" s="1">
        <v>7</v>
      </c>
      <c r="J29" s="6">
        <v>0.42857142857142799</v>
      </c>
      <c r="K29" s="1">
        <v>23</v>
      </c>
      <c r="L29" s="6">
        <v>0.434782608695652</v>
      </c>
      <c r="M29" s="1">
        <v>8</v>
      </c>
      <c r="N29" s="3">
        <v>0.375</v>
      </c>
      <c r="O29" s="1">
        <v>3</v>
      </c>
      <c r="P29" s="6">
        <v>0.33333333333333298</v>
      </c>
      <c r="Q29" s="1">
        <v>1</v>
      </c>
      <c r="R29" s="3">
        <v>0</v>
      </c>
      <c r="S29" s="3">
        <f t="shared" si="0"/>
        <v>-0.10576923076923031</v>
      </c>
      <c r="T29" s="3">
        <f t="shared" si="1"/>
        <v>-0.50725141111961236</v>
      </c>
      <c r="U29" s="3">
        <f t="shared" si="2"/>
        <v>0.6119784263693453</v>
      </c>
    </row>
    <row r="30" spans="1:21" x14ac:dyDescent="0.35">
      <c r="A30" s="1">
        <v>5108936</v>
      </c>
      <c r="B30" s="1" t="str">
        <f>_xlfn.XLOOKUP($A30,rosters!$F:$F,rosters!$M:$M)</f>
        <v>Vivienne Knee</v>
      </c>
      <c r="C30" s="1" t="str">
        <f>_xlfn.XLOOKUP($A30,rosters!$F:$F,rosters!$H:$H)</f>
        <v>G</v>
      </c>
      <c r="D30" s="1" t="str">
        <f>_xlfn.XLOOKUP($A30,rosters!$F:$F,rosters!$N:$N)</f>
        <v>SR</v>
      </c>
      <c r="E30" s="1">
        <v>2</v>
      </c>
      <c r="F30" s="3">
        <v>0</v>
      </c>
      <c r="G30" s="1">
        <v>4</v>
      </c>
      <c r="H30" s="3">
        <v>0</v>
      </c>
      <c r="I30" s="1">
        <v>8</v>
      </c>
      <c r="J30" s="3">
        <v>0.25</v>
      </c>
      <c r="K30" s="1">
        <v>20</v>
      </c>
      <c r="L30" s="3">
        <v>0.2</v>
      </c>
      <c r="M30" s="1">
        <v>3</v>
      </c>
      <c r="N30" s="6">
        <v>0.33333333333333298</v>
      </c>
      <c r="O30" s="1">
        <v>0</v>
      </c>
      <c r="P30" s="3">
        <v>0</v>
      </c>
      <c r="Q30" s="1">
        <v>0</v>
      </c>
      <c r="R30" s="3">
        <v>0</v>
      </c>
      <c r="S30" s="3">
        <f t="shared" si="0"/>
        <v>0.16666666666666616</v>
      </c>
      <c r="T30" s="3">
        <f t="shared" si="1"/>
        <v>0.74535599249992768</v>
      </c>
      <c r="U30" s="3">
        <f t="shared" si="2"/>
        <v>0.45605654025025721</v>
      </c>
    </row>
    <row r="31" spans="1:21" x14ac:dyDescent="0.35">
      <c r="A31" s="1">
        <v>5241810</v>
      </c>
      <c r="B31" s="1" t="str">
        <f>_xlfn.XLOOKUP($A31,rosters!$F:$F,rosters!$M:$M)</f>
        <v>Alana Andrews</v>
      </c>
      <c r="C31" s="1" t="str">
        <f>_xlfn.XLOOKUP($A31,rosters!$F:$F,rosters!$H:$H)</f>
        <v>G</v>
      </c>
      <c r="D31" s="1" t="str">
        <f>_xlfn.XLOOKUP($A31,rosters!$F:$F,rosters!$N:$N)</f>
        <v>SO</v>
      </c>
      <c r="E31" s="1">
        <v>1</v>
      </c>
      <c r="F31" s="3">
        <v>1</v>
      </c>
      <c r="G31" s="1">
        <v>3</v>
      </c>
      <c r="H31" s="6">
        <v>0.66666666666666596</v>
      </c>
      <c r="I31" s="1">
        <v>6</v>
      </c>
      <c r="J31" s="3">
        <v>0.5</v>
      </c>
      <c r="K31" s="1">
        <v>14</v>
      </c>
      <c r="L31" s="3">
        <v>0.5</v>
      </c>
      <c r="M31" s="1">
        <v>6</v>
      </c>
      <c r="N31" s="6">
        <v>0.66666666666666596</v>
      </c>
      <c r="O31" s="1">
        <v>3</v>
      </c>
      <c r="P31" s="3">
        <v>1</v>
      </c>
      <c r="Q31" s="1">
        <v>2</v>
      </c>
      <c r="R31" s="3">
        <v>1</v>
      </c>
      <c r="S31" s="3">
        <f t="shared" si="0"/>
        <v>0.33333333333333193</v>
      </c>
      <c r="T31" s="3">
        <f t="shared" si="1"/>
        <v>1.2472191289246419</v>
      </c>
      <c r="U31" s="3">
        <f t="shared" si="2"/>
        <v>0.21231716077296681</v>
      </c>
    </row>
    <row r="32" spans="1:21" x14ac:dyDescent="0.35">
      <c r="S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3568-7AEC-4406-9D1A-FAE11CA8D61D}">
  <dimension ref="A1:U18"/>
  <sheetViews>
    <sheetView zoomScale="88" workbookViewId="0">
      <selection activeCell="K2" sqref="K2:K11"/>
    </sheetView>
  </sheetViews>
  <sheetFormatPr defaultRowHeight="14.5" x14ac:dyDescent="0.35"/>
  <cols>
    <col min="1" max="1" width="12.36328125" style="1" bestFit="1" customWidth="1"/>
    <col min="2" max="4" width="12.36328125" style="1" customWidth="1"/>
    <col min="5" max="5" width="12.36328125" style="1" bestFit="1" customWidth="1"/>
    <col min="6" max="6" width="12.08984375" style="2" bestFit="1" customWidth="1"/>
    <col min="7" max="7" width="12.36328125" style="1" bestFit="1" customWidth="1"/>
    <col min="8" max="8" width="12.08984375" style="2" bestFit="1" customWidth="1"/>
    <col min="9" max="9" width="10.453125" style="1" bestFit="1" customWidth="1"/>
    <col min="10" max="10" width="12.08984375" style="2" bestFit="1" customWidth="1"/>
    <col min="11" max="11" width="8.36328125" style="1" bestFit="1" customWidth="1"/>
    <col min="12" max="12" width="12.08984375" style="2" bestFit="1" customWidth="1"/>
    <col min="13" max="13" width="11.08984375" style="1" bestFit="1" customWidth="1"/>
    <col min="14" max="14" width="12.08984375" style="2" bestFit="1" customWidth="1"/>
    <col min="15" max="15" width="12" style="1" bestFit="1" customWidth="1"/>
    <col min="16" max="16" width="12.08984375" style="2" bestFit="1" customWidth="1"/>
    <col min="17" max="17" width="12" style="1" bestFit="1" customWidth="1"/>
    <col min="18" max="18" width="12.08984375" style="2" bestFit="1" customWidth="1"/>
    <col min="19" max="19" width="23.7265625" customWidth="1"/>
    <col min="20" max="20" width="21" customWidth="1"/>
    <col min="21" max="21" width="11.36328125" bestFit="1" customWidth="1"/>
  </cols>
  <sheetData>
    <row r="1" spans="1:21" x14ac:dyDescent="0.35">
      <c r="A1" s="1" t="s">
        <v>0</v>
      </c>
      <c r="B1" s="1" t="s">
        <v>19</v>
      </c>
      <c r="C1" s="1" t="s">
        <v>25</v>
      </c>
      <c r="D1" s="1" t="s">
        <v>292</v>
      </c>
      <c r="E1" s="1" t="s">
        <v>3</v>
      </c>
      <c r="F1" s="3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1" t="s">
        <v>1</v>
      </c>
      <c r="L1" s="3" t="s">
        <v>2</v>
      </c>
      <c r="M1" s="1" t="s">
        <v>9</v>
      </c>
      <c r="N1" s="3" t="s">
        <v>10</v>
      </c>
      <c r="O1" s="1" t="s">
        <v>11</v>
      </c>
      <c r="P1" s="3" t="s">
        <v>12</v>
      </c>
      <c r="Q1" s="1" t="s">
        <v>13</v>
      </c>
      <c r="R1" s="3" t="s">
        <v>14</v>
      </c>
      <c r="S1" s="3" t="s">
        <v>15</v>
      </c>
      <c r="T1" s="3" t="s">
        <v>17</v>
      </c>
      <c r="U1" s="3" t="s">
        <v>16</v>
      </c>
    </row>
    <row r="2" spans="1:21" x14ac:dyDescent="0.35">
      <c r="A2" s="1">
        <v>5106247</v>
      </c>
      <c r="B2" s="1" t="str">
        <f>_xlfn.XLOOKUP($A2,rosters!$F:$F,rosters!$M:$M)</f>
        <v>Cooper Noard</v>
      </c>
      <c r="C2" s="1" t="str">
        <f>_xlfn.XLOOKUP($A2,rosters!$F:$F,rosters!$H:$H)</f>
        <v>G</v>
      </c>
      <c r="D2" s="1" t="str">
        <f>_xlfn.XLOOKUP($A2,rosters!$F:$F,rosters!$N:$N)</f>
        <v>SR</v>
      </c>
      <c r="E2" s="1">
        <v>16</v>
      </c>
      <c r="F2" s="3">
        <v>0.5625</v>
      </c>
      <c r="G2" s="1">
        <v>47</v>
      </c>
      <c r="H2" s="3">
        <v>0.61702127659574402</v>
      </c>
      <c r="I2" s="1">
        <v>119</v>
      </c>
      <c r="J2" s="3">
        <v>0.57142857142857095</v>
      </c>
      <c r="K2" s="1">
        <v>279</v>
      </c>
      <c r="L2" s="3">
        <v>0.51971326164874498</v>
      </c>
      <c r="M2" s="1">
        <v>137</v>
      </c>
      <c r="N2" s="3">
        <v>0.452554744525547</v>
      </c>
      <c r="O2" s="1">
        <v>56</v>
      </c>
      <c r="P2" s="3">
        <v>0.46428571428571402</v>
      </c>
      <c r="Q2" s="1">
        <v>24</v>
      </c>
      <c r="R2" s="3">
        <v>0.375</v>
      </c>
      <c r="S2" s="3">
        <f t="shared" ref="S2:S6" si="0">((N2*L2)-(L2*L2))/(L2*(1-L2))</f>
        <v>-0.13983004684606123</v>
      </c>
      <c r="T2" s="3">
        <f t="shared" ref="T2:T6" si="1">SQRT(K2)*S2</f>
        <v>-2.3356222550470571</v>
      </c>
      <c r="U2" s="3">
        <f t="shared" ref="U2:U6" si="2">2*(1-_xlfn.NORM.S.DIST(ABS(T2),TRUE))</f>
        <v>1.9510937644194648E-2</v>
      </c>
    </row>
    <row r="3" spans="1:21" x14ac:dyDescent="0.35">
      <c r="A3" s="1">
        <v>5106243</v>
      </c>
      <c r="B3" s="1" t="str">
        <f>_xlfn.XLOOKUP($A3,rosters!$F:$F,rosters!$M:$M)</f>
        <v>Adam Hinton</v>
      </c>
      <c r="C3" s="1" t="str">
        <f>_xlfn.XLOOKUP($A3,rosters!$F:$F,rosters!$H:$H)</f>
        <v>G</v>
      </c>
      <c r="D3" s="1" t="str">
        <f>_xlfn.XLOOKUP($A3,rosters!$F:$F,rosters!$N:$N)</f>
        <v>SR</v>
      </c>
      <c r="E3" s="1">
        <v>15</v>
      </c>
      <c r="F3" s="3">
        <v>0.66666666666666596</v>
      </c>
      <c r="G3" s="1">
        <v>39</v>
      </c>
      <c r="H3" s="3">
        <v>0.56410256410256399</v>
      </c>
      <c r="I3" s="1">
        <v>98</v>
      </c>
      <c r="J3" s="3">
        <v>0.56122448979591799</v>
      </c>
      <c r="K3" s="1">
        <v>218</v>
      </c>
      <c r="L3" s="3">
        <v>0.490825688073394</v>
      </c>
      <c r="M3" s="1">
        <v>97</v>
      </c>
      <c r="N3" s="3">
        <v>0.432989690721649</v>
      </c>
      <c r="O3" s="1">
        <v>34</v>
      </c>
      <c r="P3" s="3">
        <v>0.47058823529411697</v>
      </c>
      <c r="Q3" s="1">
        <v>12</v>
      </c>
      <c r="R3" s="3">
        <v>0.58333333333333304</v>
      </c>
      <c r="S3" s="3">
        <f t="shared" si="0"/>
        <v>-0.1135878146187423</v>
      </c>
      <c r="T3" s="3">
        <f t="shared" si="1"/>
        <v>-1.677103984644323</v>
      </c>
      <c r="U3" s="3">
        <f t="shared" si="2"/>
        <v>9.3522149761463114E-2</v>
      </c>
    </row>
    <row r="4" spans="1:21" x14ac:dyDescent="0.35">
      <c r="A4" s="1">
        <v>5175900</v>
      </c>
      <c r="B4" s="1" t="str">
        <f>_xlfn.XLOOKUP($A4,rosters!$F:$F,rosters!$M:$M)</f>
        <v>Jake Fiegen</v>
      </c>
      <c r="C4" s="1" t="str">
        <f>_xlfn.XLOOKUP($A4,rosters!$F:$F,rosters!$H:$H)</f>
        <v>G</v>
      </c>
      <c r="D4" s="1" t="str">
        <f>_xlfn.XLOOKUP($A4,rosters!$F:$F,rosters!$N:$N)</f>
        <v>SR</v>
      </c>
      <c r="E4" s="1">
        <v>17</v>
      </c>
      <c r="F4" s="3">
        <v>0.58823529411764697</v>
      </c>
      <c r="G4" s="1">
        <v>36</v>
      </c>
      <c r="H4" s="3">
        <v>0.44444444444444398</v>
      </c>
      <c r="I4" s="1">
        <v>86</v>
      </c>
      <c r="J4" s="3">
        <v>0.53488372093023195</v>
      </c>
      <c r="K4" s="1">
        <v>210</v>
      </c>
      <c r="L4" s="3">
        <v>0.54285714285714204</v>
      </c>
      <c r="M4" s="1">
        <v>105</v>
      </c>
      <c r="N4" s="3">
        <v>0.56190476190476102</v>
      </c>
      <c r="O4" s="1">
        <v>53</v>
      </c>
      <c r="P4" s="3">
        <v>0.52830188679245205</v>
      </c>
      <c r="Q4" s="1">
        <v>27</v>
      </c>
      <c r="R4" s="3">
        <v>0.51851851851851805</v>
      </c>
      <c r="S4" s="3">
        <f t="shared" si="0"/>
        <v>4.166666666666656E-2</v>
      </c>
      <c r="T4" s="3">
        <f t="shared" si="1"/>
        <v>0.6038073644245584</v>
      </c>
      <c r="U4" s="3">
        <f t="shared" si="2"/>
        <v>0.54597172267656013</v>
      </c>
    </row>
    <row r="5" spans="1:21" x14ac:dyDescent="0.35">
      <c r="A5" s="1">
        <v>5175898</v>
      </c>
      <c r="B5" s="1" t="str">
        <f>_xlfn.XLOOKUP($A5,rosters!$F:$F,rosters!$M:$M)</f>
        <v>Jacob Beccles</v>
      </c>
      <c r="C5" s="1" t="str">
        <f>_xlfn.XLOOKUP($A5,rosters!$F:$F,rosters!$H:$H)</f>
        <v>G</v>
      </c>
      <c r="D5" s="1" t="str">
        <f>_xlfn.XLOOKUP($A5,rosters!$F:$F,rosters!$N:$N)</f>
        <v>JR</v>
      </c>
      <c r="E5" s="1">
        <v>10</v>
      </c>
      <c r="F5" s="3">
        <v>0.4</v>
      </c>
      <c r="G5" s="1">
        <v>22</v>
      </c>
      <c r="H5" s="3">
        <v>0.31818181818181801</v>
      </c>
      <c r="I5" s="1">
        <v>54</v>
      </c>
      <c r="J5" s="3">
        <v>0.38888888888888801</v>
      </c>
      <c r="K5" s="1">
        <v>131</v>
      </c>
      <c r="L5" s="3">
        <v>0.465648854961832</v>
      </c>
      <c r="M5" s="1">
        <v>54</v>
      </c>
      <c r="N5" s="3">
        <v>0.53703703703703698</v>
      </c>
      <c r="O5" s="1">
        <v>26</v>
      </c>
      <c r="P5" s="3">
        <v>0.42307692307692302</v>
      </c>
      <c r="Q5" s="1">
        <v>10</v>
      </c>
      <c r="R5" s="3">
        <v>0.3</v>
      </c>
      <c r="S5" s="3">
        <f t="shared" si="0"/>
        <v>0.13359788359788352</v>
      </c>
      <c r="T5" s="3">
        <f t="shared" si="1"/>
        <v>1.5290976684764797</v>
      </c>
      <c r="U5" s="3">
        <f t="shared" si="2"/>
        <v>0.12624023327637635</v>
      </c>
    </row>
    <row r="6" spans="1:21" x14ac:dyDescent="0.35">
      <c r="A6" s="1">
        <v>5106245</v>
      </c>
      <c r="B6" s="1" t="str">
        <f>_xlfn.XLOOKUP($A6,rosters!$F:$F,rosters!$M:$M)</f>
        <v>Josh Baldwin</v>
      </c>
      <c r="C6" s="1" t="str">
        <f>_xlfn.XLOOKUP($A6,rosters!$F:$F,rosters!$H:$H)</f>
        <v>G</v>
      </c>
      <c r="D6" s="1" t="str">
        <f>_xlfn.XLOOKUP($A6,rosters!$F:$F,rosters!$N:$N)</f>
        <v>SR</v>
      </c>
      <c r="E6" s="1">
        <v>10</v>
      </c>
      <c r="F6" s="3">
        <v>0.5</v>
      </c>
      <c r="G6" s="1">
        <v>24</v>
      </c>
      <c r="H6" s="3">
        <v>0.41666666666666602</v>
      </c>
      <c r="I6" s="1">
        <v>57</v>
      </c>
      <c r="J6" s="3">
        <v>0.45614035087719201</v>
      </c>
      <c r="K6" s="1">
        <v>119</v>
      </c>
      <c r="L6" s="3">
        <v>0.42857142857142799</v>
      </c>
      <c r="M6" s="1">
        <v>42</v>
      </c>
      <c r="N6" s="3">
        <v>0.40476190476190399</v>
      </c>
      <c r="O6" s="1">
        <v>13</v>
      </c>
      <c r="P6" s="3">
        <v>0.30769230769230699</v>
      </c>
      <c r="Q6" s="1">
        <v>4</v>
      </c>
      <c r="R6" s="3">
        <v>0.25</v>
      </c>
      <c r="S6" s="3">
        <f t="shared" si="0"/>
        <v>-4.1666666666666949E-2</v>
      </c>
      <c r="T6" s="3">
        <f t="shared" si="1"/>
        <v>-0.45452967144315781</v>
      </c>
      <c r="U6" s="3">
        <f t="shared" si="2"/>
        <v>0.64944764086358675</v>
      </c>
    </row>
    <row r="7" spans="1:21" x14ac:dyDescent="0.35">
      <c r="A7" s="1">
        <v>5108938</v>
      </c>
      <c r="B7" s="1" t="str">
        <f>_xlfn.XLOOKUP($A7,rosters!$F:$F,rosters!$M:$M)</f>
        <v>Emily Pape</v>
      </c>
      <c r="C7" s="1" t="str">
        <f>_xlfn.XLOOKUP($A7,rosters!$F:$F,rosters!$H:$H)</f>
        <v>F</v>
      </c>
      <c r="D7" s="1" t="str">
        <f>_xlfn.XLOOKUP($A7,rosters!$F:$F,rosters!$N:$N)</f>
        <v>SR</v>
      </c>
      <c r="E7" s="1">
        <v>36</v>
      </c>
      <c r="F7" s="6">
        <v>0.41666666666666602</v>
      </c>
      <c r="G7" s="1">
        <v>79</v>
      </c>
      <c r="H7" s="3">
        <v>0.379746835443038</v>
      </c>
      <c r="I7" s="1">
        <v>159</v>
      </c>
      <c r="J7" s="3">
        <v>0.38993710691823902</v>
      </c>
      <c r="K7" s="1">
        <v>283</v>
      </c>
      <c r="L7" s="6">
        <v>0.34628975265017597</v>
      </c>
      <c r="M7" s="1">
        <v>97</v>
      </c>
      <c r="N7" s="6">
        <v>0.28865979381443202</v>
      </c>
      <c r="O7" s="1">
        <v>28</v>
      </c>
      <c r="P7" s="6">
        <v>0.32142857142857101</v>
      </c>
      <c r="Q7" s="1">
        <v>9</v>
      </c>
      <c r="R7" s="6">
        <v>0.33333333333333298</v>
      </c>
      <c r="S7" s="3">
        <f t="shared" ref="S7:S11" si="3">((N7*L7)-(L7*L7))/(L7*(1-L7))</f>
        <v>-8.8158261354137957E-2</v>
      </c>
      <c r="T7" s="3">
        <f t="shared" ref="T7:T11" si="4">SQRT(K7)*S7</f>
        <v>-1.4830515060949878</v>
      </c>
      <c r="U7" s="3">
        <f t="shared" ref="U7:U11" si="5">2*(1-_xlfn.NORM.S.DIST(ABS(T7),TRUE))</f>
        <v>0.13806072678645509</v>
      </c>
    </row>
    <row r="8" spans="1:21" x14ac:dyDescent="0.35">
      <c r="A8" s="1">
        <v>5176408</v>
      </c>
      <c r="B8" s="1" t="str">
        <f>_xlfn.XLOOKUP($A8,rosters!$F:$F,rosters!$M:$M)</f>
        <v>Rachel Kaus</v>
      </c>
      <c r="C8" s="1" t="str">
        <f>_xlfn.XLOOKUP($A8,rosters!$F:$F,rosters!$H:$H)</f>
        <v>G</v>
      </c>
      <c r="D8" s="1" t="str">
        <f>_xlfn.XLOOKUP($A8,rosters!$F:$F,rosters!$N:$N)</f>
        <v>JR</v>
      </c>
      <c r="E8" s="1">
        <v>31</v>
      </c>
      <c r="F8" s="6">
        <v>0.51612903225806395</v>
      </c>
      <c r="G8" s="1">
        <v>67</v>
      </c>
      <c r="H8" s="6">
        <v>0.43283582089552203</v>
      </c>
      <c r="I8" s="1">
        <v>138</v>
      </c>
      <c r="J8" s="6">
        <v>0.434782608695652</v>
      </c>
      <c r="K8" s="1">
        <v>275</v>
      </c>
      <c r="L8" s="6">
        <v>0.43636363636363601</v>
      </c>
      <c r="M8" s="1">
        <v>110</v>
      </c>
      <c r="N8" s="6">
        <v>0.41818181818181799</v>
      </c>
      <c r="O8" s="1">
        <v>41</v>
      </c>
      <c r="P8" s="6">
        <v>0.34146341463414598</v>
      </c>
      <c r="Q8" s="1">
        <v>10</v>
      </c>
      <c r="R8" s="3">
        <v>0.5</v>
      </c>
      <c r="S8" s="3">
        <f t="shared" si="3"/>
        <v>-3.2258064516128657E-2</v>
      </c>
      <c r="T8" s="3">
        <f t="shared" si="4"/>
        <v>-0.53493948231538091</v>
      </c>
      <c r="U8" s="3">
        <f t="shared" si="5"/>
        <v>0.59269170545037708</v>
      </c>
    </row>
    <row r="9" spans="1:21" x14ac:dyDescent="0.35">
      <c r="A9" s="1">
        <v>5176410</v>
      </c>
      <c r="B9" s="1" t="str">
        <f>_xlfn.XLOOKUP($A9,rosters!$F:$F,rosters!$M:$M)</f>
        <v>Clarke Jackson</v>
      </c>
      <c r="C9" s="1" t="str">
        <f>_xlfn.XLOOKUP($A9,rosters!$F:$F,rosters!$H:$H)</f>
        <v>G</v>
      </c>
      <c r="D9" s="1" t="str">
        <f>_xlfn.XLOOKUP($A9,rosters!$F:$F,rosters!$N:$N)</f>
        <v>JR</v>
      </c>
      <c r="E9" s="1">
        <v>17</v>
      </c>
      <c r="F9" s="6">
        <v>0.58823529411764697</v>
      </c>
      <c r="G9" s="1">
        <v>48</v>
      </c>
      <c r="H9" s="3">
        <v>0.5625</v>
      </c>
      <c r="I9" s="1">
        <v>102</v>
      </c>
      <c r="J9" s="6">
        <v>0.45098039215686198</v>
      </c>
      <c r="K9" s="1">
        <v>227</v>
      </c>
      <c r="L9" s="6">
        <v>0.46255506607929497</v>
      </c>
      <c r="M9" s="1">
        <v>98</v>
      </c>
      <c r="N9" s="6">
        <v>0.47959183673469302</v>
      </c>
      <c r="O9" s="1">
        <v>45</v>
      </c>
      <c r="P9" s="6">
        <v>0.46666666666666601</v>
      </c>
      <c r="Q9" s="1">
        <v>20</v>
      </c>
      <c r="R9" s="3">
        <v>0.45</v>
      </c>
      <c r="S9" s="3">
        <f t="shared" si="3"/>
        <v>3.1699565071929087E-2</v>
      </c>
      <c r="T9" s="3">
        <f t="shared" si="4"/>
        <v>0.47760210494210442</v>
      </c>
      <c r="U9" s="3">
        <f t="shared" si="5"/>
        <v>0.63293343241251265</v>
      </c>
    </row>
    <row r="10" spans="1:21" x14ac:dyDescent="0.35">
      <c r="A10" s="1">
        <v>5241809</v>
      </c>
      <c r="B10" s="1" t="str">
        <f>_xlfn.XLOOKUP($A10,rosters!$F:$F,rosters!$M:$M)</f>
        <v>Paige Engels</v>
      </c>
      <c r="C10" s="1" t="str">
        <f>_xlfn.XLOOKUP($A10,rosters!$F:$F,rosters!$H:$H)</f>
        <v>G</v>
      </c>
      <c r="D10" s="1" t="str">
        <f>_xlfn.XLOOKUP($A10,rosters!$F:$F,rosters!$N:$N)</f>
        <v>SO</v>
      </c>
      <c r="E10" s="1">
        <v>10</v>
      </c>
      <c r="F10" s="3">
        <v>0.5</v>
      </c>
      <c r="G10" s="1">
        <v>31</v>
      </c>
      <c r="H10" s="6">
        <v>0.54838709677419295</v>
      </c>
      <c r="I10" s="1">
        <v>75</v>
      </c>
      <c r="J10" s="6">
        <v>0.413333333333333</v>
      </c>
      <c r="K10" s="1">
        <v>160</v>
      </c>
      <c r="L10" s="3">
        <v>0.4</v>
      </c>
      <c r="M10" s="1">
        <v>58</v>
      </c>
      <c r="N10" s="6">
        <v>0.32758620689655099</v>
      </c>
      <c r="O10" s="1">
        <v>17</v>
      </c>
      <c r="P10" s="6">
        <v>0.35294117647058798</v>
      </c>
      <c r="Q10" s="1">
        <v>5</v>
      </c>
      <c r="R10" s="3">
        <v>0.2</v>
      </c>
      <c r="S10" s="3">
        <f t="shared" si="3"/>
        <v>-0.12068965517241514</v>
      </c>
      <c r="T10" s="3">
        <f t="shared" si="4"/>
        <v>-1.5266168014606141</v>
      </c>
      <c r="U10" s="3">
        <f t="shared" si="5"/>
        <v>0.12685632663333424</v>
      </c>
    </row>
    <row r="11" spans="1:21" x14ac:dyDescent="0.35">
      <c r="A11" s="1">
        <v>5241811</v>
      </c>
      <c r="B11" s="1" t="str">
        <f>_xlfn.XLOOKUP($A11,rosters!$F:$F,rosters!$M:$M)</f>
        <v>Audrey Chen</v>
      </c>
      <c r="C11" s="1" t="str">
        <f>_xlfn.XLOOKUP($A11,rosters!$F:$F,rosters!$H:$H)</f>
        <v>G</v>
      </c>
      <c r="D11" s="1" t="str">
        <f>_xlfn.XLOOKUP($A11,rosters!$F:$F,rosters!$N:$N)</f>
        <v>SO</v>
      </c>
      <c r="E11" s="1">
        <v>16</v>
      </c>
      <c r="F11" s="3">
        <v>0.3125</v>
      </c>
      <c r="G11" s="1">
        <v>30</v>
      </c>
      <c r="H11" s="6">
        <v>0.33333333333333298</v>
      </c>
      <c r="I11" s="1">
        <v>62</v>
      </c>
      <c r="J11" s="6">
        <v>0.35483870967741898</v>
      </c>
      <c r="K11" s="1">
        <v>118</v>
      </c>
      <c r="L11" s="6">
        <v>0.34745762711864397</v>
      </c>
      <c r="M11" s="1">
        <v>31</v>
      </c>
      <c r="N11" s="6">
        <v>0.35483870967741898</v>
      </c>
      <c r="O11" s="1">
        <v>8</v>
      </c>
      <c r="P11" s="3">
        <v>0.375</v>
      </c>
      <c r="Q11" s="1">
        <v>1</v>
      </c>
      <c r="R11" s="3">
        <v>1</v>
      </c>
      <c r="S11" s="3">
        <f t="shared" si="3"/>
        <v>1.1311269375785049E-2</v>
      </c>
      <c r="T11" s="3">
        <f t="shared" si="4"/>
        <v>0.12287183630598827</v>
      </c>
      <c r="U11" s="3">
        <f t="shared" si="5"/>
        <v>0.90220858797337589</v>
      </c>
    </row>
    <row r="12" spans="1:21" x14ac:dyDescent="0.35">
      <c r="F12" s="3"/>
      <c r="H12" s="6"/>
      <c r="J12" s="6"/>
      <c r="L12" s="6"/>
      <c r="N12" s="3"/>
      <c r="P12" s="3"/>
      <c r="R12" s="3"/>
      <c r="S12" s="3"/>
      <c r="T12" s="3"/>
      <c r="U12" s="3"/>
    </row>
    <row r="13" spans="1:21" x14ac:dyDescent="0.35">
      <c r="F13" s="5"/>
      <c r="H13" s="5"/>
      <c r="J13" s="5"/>
      <c r="L13" s="5"/>
      <c r="N13" s="5"/>
      <c r="P13" s="5"/>
      <c r="R13" s="5"/>
      <c r="S13" s="3"/>
      <c r="T13" s="3"/>
      <c r="U13" s="3"/>
    </row>
    <row r="14" spans="1:21" x14ac:dyDescent="0.35">
      <c r="F14" s="3"/>
      <c r="H14" s="3"/>
      <c r="J14" s="6"/>
      <c r="L14" s="6"/>
      <c r="N14" s="3"/>
      <c r="P14" s="6"/>
      <c r="R14" s="3"/>
      <c r="S14" s="3"/>
      <c r="T14" s="3"/>
      <c r="U14" s="3"/>
    </row>
    <row r="15" spans="1:21" x14ac:dyDescent="0.35">
      <c r="F15" s="3"/>
      <c r="H15" s="3"/>
      <c r="J15" s="6"/>
      <c r="L15" s="6"/>
      <c r="N15" s="3"/>
      <c r="P15" s="6"/>
      <c r="R15" s="3"/>
      <c r="S15" s="3"/>
      <c r="T15" s="3"/>
      <c r="U15" s="3"/>
    </row>
    <row r="16" spans="1:21" x14ac:dyDescent="0.35">
      <c r="F16" s="3"/>
      <c r="H16" s="3"/>
      <c r="J16" s="3"/>
      <c r="L16" s="3"/>
      <c r="N16" s="6"/>
      <c r="P16" s="3"/>
      <c r="R16" s="3"/>
      <c r="S16" s="3"/>
      <c r="T16" s="3"/>
      <c r="U16" s="3"/>
    </row>
    <row r="17" spans="6:21" x14ac:dyDescent="0.35">
      <c r="F17" s="3"/>
      <c r="H17" s="6"/>
      <c r="J17" s="3"/>
      <c r="L17" s="3"/>
      <c r="N17" s="6"/>
      <c r="P17" s="3"/>
      <c r="R17" s="3"/>
      <c r="S17" s="3"/>
      <c r="T17" s="3"/>
      <c r="U17" s="3"/>
    </row>
    <row r="18" spans="6:21" x14ac:dyDescent="0.35">
      <c r="S18" s="3"/>
    </row>
  </sheetData>
  <sortState xmlns:xlrd2="http://schemas.microsoft.com/office/spreadsheetml/2017/richdata2" ref="A7:R16">
    <sortCondition descending="1" ref="A7:A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2DA0-9273-46D7-B10F-0E571E1AA2B1}">
  <dimension ref="A1:L17"/>
  <sheetViews>
    <sheetView workbookViewId="0">
      <selection activeCell="H7" sqref="H7"/>
    </sheetView>
  </sheetViews>
  <sheetFormatPr defaultRowHeight="14.5" x14ac:dyDescent="0.35"/>
  <cols>
    <col min="1" max="1" width="13.81640625" bestFit="1" customWidth="1"/>
    <col min="2" max="2" width="7.36328125" bestFit="1" customWidth="1"/>
    <col min="3" max="3" width="4.453125" bestFit="1" customWidth="1"/>
    <col min="4" max="4" width="13.36328125" customWidth="1"/>
    <col min="5" max="5" width="13.36328125" style="1" bestFit="1" customWidth="1"/>
    <col min="6" max="6" width="11.7265625" style="1" bestFit="1" customWidth="1"/>
    <col min="7" max="7" width="10.453125" style="1" customWidth="1"/>
    <col min="8" max="8" width="9.6328125" style="1" bestFit="1" customWidth="1"/>
    <col min="9" max="10" width="10.90625" style="1" bestFit="1" customWidth="1"/>
    <col min="11" max="11" width="14.90625" bestFit="1" customWidth="1"/>
    <col min="12" max="12" width="4.81640625" bestFit="1" customWidth="1"/>
  </cols>
  <sheetData>
    <row r="1" spans="1:12" x14ac:dyDescent="0.35">
      <c r="A1" s="1" t="s">
        <v>300</v>
      </c>
      <c r="B1" s="1" t="s">
        <v>301</v>
      </c>
      <c r="C1" s="1" t="s">
        <v>302</v>
      </c>
      <c r="D1" s="1" t="s">
        <v>293</v>
      </c>
      <c r="E1" s="1" t="s">
        <v>294</v>
      </c>
      <c r="F1" s="1" t="s">
        <v>296</v>
      </c>
      <c r="G1" s="1" t="s">
        <v>295</v>
      </c>
      <c r="H1" s="1" t="s">
        <v>297</v>
      </c>
      <c r="I1" s="1" t="s">
        <v>298</v>
      </c>
      <c r="J1" s="1" t="s">
        <v>299</v>
      </c>
      <c r="K1" s="3" t="s">
        <v>303</v>
      </c>
      <c r="L1" s="3"/>
    </row>
    <row r="2" spans="1:12" x14ac:dyDescent="0.35">
      <c r="A2" s="1" t="s">
        <v>250</v>
      </c>
      <c r="B2" s="1" t="s">
        <v>38</v>
      </c>
      <c r="C2" s="1" t="s">
        <v>116</v>
      </c>
      <c r="D2" s="1" t="str">
        <f>ROUND(parsedTable1!F2,2)&amp;" ("&amp;parsedTable1!E2&amp;")"</f>
        <v>0.56 (16)</v>
      </c>
      <c r="E2" s="1" t="str">
        <f>ROUND(parsedTable1!H2,2)&amp;" ("&amp;parsedTable1!G2&amp;")"</f>
        <v>0.62 (47)</v>
      </c>
      <c r="F2" s="1" t="str">
        <f>ROUND(parsedTable1!J2,2)&amp;" ("&amp;parsedTable1!I2&amp;")"</f>
        <v>0.57 (119)</v>
      </c>
      <c r="G2" s="1" t="str">
        <f>ROUND(parsedTable1!L2,2)&amp;" ("&amp;parsedTable1!K2&amp;")"</f>
        <v>0.52 (279)</v>
      </c>
      <c r="H2" s="1" t="str">
        <f>ROUND(parsedTable1!N2,2)&amp;" ("&amp;parsedTable1!M2&amp;")"</f>
        <v>0.45 (137)</v>
      </c>
      <c r="I2" s="1" t="str">
        <f>ROUND(parsedTable1!P2,2)&amp;" ("&amp;parsedTable1!O2&amp;")"</f>
        <v>0.46 (56)</v>
      </c>
      <c r="J2" s="1" t="str">
        <f>ROUND(parsedTable1!R2,2)&amp;" ("&amp;parsedTable1!Q2&amp;")"</f>
        <v>0.38 (24)</v>
      </c>
      <c r="K2" s="3">
        <f>parsedTable1!S2</f>
        <v>-0.13983004684606123</v>
      </c>
      <c r="L2" s="3" t="str" cm="1">
        <f t="array" ref="L2">_xlfn.IFS(parsedTable1!U2&lt;0.01,"**",parsedTable1!U2&lt;0.05,"**",parsedTable1!U2&gt;0.05,"")</f>
        <v>**</v>
      </c>
    </row>
    <row r="3" spans="1:12" x14ac:dyDescent="0.35">
      <c r="A3" s="1" t="s">
        <v>197</v>
      </c>
      <c r="B3" s="1" t="s">
        <v>38</v>
      </c>
      <c r="C3" s="1" t="s">
        <v>116</v>
      </c>
      <c r="D3" s="1" t="str">
        <f>ROUND(parsedTable1!F3,2)&amp;" ("&amp;parsedTable1!E3&amp;")"</f>
        <v>0.67 (15)</v>
      </c>
      <c r="E3" s="1" t="str">
        <f>ROUND(parsedTable1!H3,2)&amp;" ("&amp;parsedTable1!G3&amp;")"</f>
        <v>0.56 (39)</v>
      </c>
      <c r="F3" s="1" t="str">
        <f>ROUND(parsedTable1!J3,2)&amp;" ("&amp;parsedTable1!I3&amp;")"</f>
        <v>0.56 (98)</v>
      </c>
      <c r="G3" s="1" t="str">
        <f>ROUND(parsedTable1!L3,2)&amp;" ("&amp;parsedTable1!K3&amp;")"</f>
        <v>0.49 (218)</v>
      </c>
      <c r="H3" s="1" t="str">
        <f>ROUND(parsedTable1!N3,2)&amp;" ("&amp;parsedTable1!M3&amp;")"</f>
        <v>0.43 (97)</v>
      </c>
      <c r="I3" s="1" t="str">
        <f>ROUND(parsedTable1!P3,2)&amp;" ("&amp;parsedTable1!O3&amp;")"</f>
        <v>0.47 (34)</v>
      </c>
      <c r="J3" s="1" t="str">
        <f>ROUND(parsedTable1!R3,2)&amp;" ("&amp;parsedTable1!Q3&amp;")"</f>
        <v>0.58 (12)</v>
      </c>
      <c r="K3" s="3">
        <f>parsedTable1!S3</f>
        <v>-0.1135878146187423</v>
      </c>
      <c r="L3" s="3" t="str" cm="1">
        <f t="array" ref="L3">_xlfn.IFS(parsedTable1!U3&lt;0.01,"**",parsedTable1!U3&lt;0.05,"**",parsedTable1!U3&gt;0.05,"")</f>
        <v/>
      </c>
    </row>
    <row r="4" spans="1:12" x14ac:dyDescent="0.35">
      <c r="A4" s="1" t="s">
        <v>176</v>
      </c>
      <c r="B4" s="1" t="s">
        <v>38</v>
      </c>
      <c r="C4" s="1" t="s">
        <v>116</v>
      </c>
      <c r="D4" s="1" t="str">
        <f>ROUND(parsedTable1!F4,2)&amp;" ("&amp;parsedTable1!E4&amp;")"</f>
        <v>0.59 (17)</v>
      </c>
      <c r="E4" s="1" t="str">
        <f>ROUND(parsedTable1!H4,2)&amp;" ("&amp;parsedTable1!G4&amp;")"</f>
        <v>0.44 (36)</v>
      </c>
      <c r="F4" s="1" t="str">
        <f>ROUND(parsedTable1!J4,2)&amp;" ("&amp;parsedTable1!I4&amp;")"</f>
        <v>0.53 (86)</v>
      </c>
      <c r="G4" s="1" t="str">
        <f>ROUND(parsedTable1!L4,2)&amp;" ("&amp;parsedTable1!K4&amp;")"</f>
        <v>0.54 (210)</v>
      </c>
      <c r="H4" s="1" t="str">
        <f>ROUND(parsedTable1!N4,2)&amp;" ("&amp;parsedTable1!M4&amp;")"</f>
        <v>0.56 (105)</v>
      </c>
      <c r="I4" s="1" t="str">
        <f>ROUND(parsedTable1!P4,2)&amp;" ("&amp;parsedTable1!O4&amp;")"</f>
        <v>0.53 (53)</v>
      </c>
      <c r="J4" s="1" t="str">
        <f>ROUND(parsedTable1!R4,2)&amp;" ("&amp;parsedTable1!Q4&amp;")"</f>
        <v>0.52 (27)</v>
      </c>
      <c r="K4" s="3">
        <f>parsedTable1!S4</f>
        <v>4.166666666666656E-2</v>
      </c>
      <c r="L4" s="3" t="str" cm="1">
        <f t="array" ref="L4">_xlfn.IFS(parsedTable1!U4&lt;0.01,"**",parsedTable1!U4&lt;0.05,"**",parsedTable1!U4&gt;0.05,"")</f>
        <v/>
      </c>
    </row>
    <row r="5" spans="1:12" x14ac:dyDescent="0.35">
      <c r="A5" s="1" t="s">
        <v>163</v>
      </c>
      <c r="B5" s="1" t="s">
        <v>38</v>
      </c>
      <c r="C5" s="1" t="s">
        <v>85</v>
      </c>
      <c r="D5" s="1" t="str">
        <f>ROUND(parsedTable1!F5,2)&amp;" ("&amp;parsedTable1!E5&amp;")"</f>
        <v>0.4 (10)</v>
      </c>
      <c r="E5" s="1" t="str">
        <f>ROUND(parsedTable1!H5,2)&amp;" ("&amp;parsedTable1!G5&amp;")"</f>
        <v>0.32 (22)</v>
      </c>
      <c r="F5" s="1" t="str">
        <f>ROUND(parsedTable1!J5,2)&amp;" ("&amp;parsedTable1!I5&amp;")"</f>
        <v>0.39 (54)</v>
      </c>
      <c r="G5" s="1" t="str">
        <f>ROUND(parsedTable1!L5,2)&amp;" ("&amp;parsedTable1!K5&amp;")"</f>
        <v>0.47 (131)</v>
      </c>
      <c r="H5" s="1" t="str">
        <f>ROUND(parsedTable1!N5,2)&amp;" ("&amp;parsedTable1!M5&amp;")"</f>
        <v>0.54 (54)</v>
      </c>
      <c r="I5" s="1" t="str">
        <f>ROUND(parsedTable1!P5,2)&amp;" ("&amp;parsedTable1!O5&amp;")"</f>
        <v>0.42 (26)</v>
      </c>
      <c r="J5" s="1" t="str">
        <f>ROUND(parsedTable1!R5,2)&amp;" ("&amp;parsedTable1!Q5&amp;")"</f>
        <v>0.3 (10)</v>
      </c>
      <c r="K5" s="3">
        <f>parsedTable1!S5</f>
        <v>0.13359788359788352</v>
      </c>
      <c r="L5" s="3" t="str" cm="1">
        <f t="array" ref="L5">_xlfn.IFS(parsedTable1!U5&lt;0.01,"**",parsedTable1!U5&lt;0.05,"**",parsedTable1!U5&gt;0.05,"")</f>
        <v/>
      </c>
    </row>
    <row r="6" spans="1:12" x14ac:dyDescent="0.35">
      <c r="A6" s="1" t="s">
        <v>155</v>
      </c>
      <c r="B6" s="1" t="s">
        <v>38</v>
      </c>
      <c r="C6" s="1" t="s">
        <v>116</v>
      </c>
      <c r="D6" s="1" t="str">
        <f>ROUND(parsedTable1!F6,2)&amp;" ("&amp;parsedTable1!E6&amp;")"</f>
        <v>0.5 (10)</v>
      </c>
      <c r="E6" s="1" t="str">
        <f>ROUND(parsedTable1!H6,2)&amp;" ("&amp;parsedTable1!G6&amp;")"</f>
        <v>0.42 (24)</v>
      </c>
      <c r="F6" s="1" t="str">
        <f>ROUND(parsedTable1!J6,2)&amp;" ("&amp;parsedTable1!I6&amp;")"</f>
        <v>0.46 (57)</v>
      </c>
      <c r="G6" s="1" t="str">
        <f>ROUND(parsedTable1!L6,2)&amp;" ("&amp;parsedTable1!K6&amp;")"</f>
        <v>0.43 (119)</v>
      </c>
      <c r="H6" s="1" t="str">
        <f>ROUND(parsedTable1!N6,2)&amp;" ("&amp;parsedTable1!M6&amp;")"</f>
        <v>0.4 (42)</v>
      </c>
      <c r="I6" s="1" t="str">
        <f>ROUND(parsedTable1!P6,2)&amp;" ("&amp;parsedTable1!O6&amp;")"</f>
        <v>0.31 (13)</v>
      </c>
      <c r="J6" s="1" t="str">
        <f>ROUND(parsedTable1!R6,2)&amp;" ("&amp;parsedTable1!Q6&amp;")"</f>
        <v>0.25 (4)</v>
      </c>
      <c r="K6" s="3">
        <f>parsedTable1!S6</f>
        <v>-4.1666666666666949E-2</v>
      </c>
      <c r="L6" s="3" t="str" cm="1">
        <f t="array" ref="L6">_xlfn.IFS(parsedTable1!U6&lt;0.01,"**",parsedTable1!U6&lt;0.05,"**",parsedTable1!U6&gt;0.05,"")</f>
        <v/>
      </c>
    </row>
    <row r="7" spans="1:12" x14ac:dyDescent="0.35">
      <c r="A7" s="7" t="s">
        <v>133</v>
      </c>
      <c r="B7" s="7" t="s">
        <v>57</v>
      </c>
      <c r="C7" s="7" t="s">
        <v>116</v>
      </c>
      <c r="D7" s="1" t="str">
        <f>ROUND(parsedTable1!F7,2)&amp;" ("&amp;parsedTable1!E7&amp;")"</f>
        <v>0.42 (36)</v>
      </c>
      <c r="E7" s="1" t="str">
        <f>ROUND(parsedTable1!H7,2)&amp;" ("&amp;parsedTable1!G7&amp;")"</f>
        <v>0.38 (79)</v>
      </c>
      <c r="F7" s="1" t="str">
        <f>ROUND(parsedTable1!J7,2)&amp;" ("&amp;parsedTable1!I7&amp;")"</f>
        <v>0.39 (159)</v>
      </c>
      <c r="G7" s="1" t="str">
        <f>ROUND(parsedTable1!L7,2)&amp;" ("&amp;parsedTable1!K7&amp;")"</f>
        <v>0.35 (283)</v>
      </c>
      <c r="H7" s="1" t="str">
        <f>ROUND(parsedTable1!N7,2)&amp;" ("&amp;parsedTable1!M7&amp;")"</f>
        <v>0.29 (97)</v>
      </c>
      <c r="I7" s="1" t="str">
        <f>ROUND(parsedTable1!P7,2)&amp;" ("&amp;parsedTable1!O7&amp;")"</f>
        <v>0.32 (28)</v>
      </c>
      <c r="J7" s="1" t="str">
        <f>ROUND(parsedTable1!R7,2)&amp;" ("&amp;parsedTable1!Q7&amp;")"</f>
        <v>0.33 (9)</v>
      </c>
      <c r="K7" s="3">
        <f>parsedTable1!S7</f>
        <v>-8.8158261354137957E-2</v>
      </c>
      <c r="L7" s="3" t="str" cm="1">
        <f t="array" ref="L7">_xlfn.IFS(parsedTable1!U7&lt;0.01,"**",parsedTable1!U7&lt;0.05,"**",parsedTable1!U7&gt;0.05,"")</f>
        <v/>
      </c>
    </row>
    <row r="8" spans="1:12" x14ac:dyDescent="0.35">
      <c r="A8" s="1" t="s">
        <v>94</v>
      </c>
      <c r="B8" s="1" t="s">
        <v>38</v>
      </c>
      <c r="C8" s="1" t="s">
        <v>85</v>
      </c>
      <c r="D8" s="1" t="str">
        <f>ROUND(parsedTable1!F8,2)&amp;" ("&amp;parsedTable1!E8&amp;")"</f>
        <v>0.52 (31)</v>
      </c>
      <c r="E8" s="1" t="str">
        <f>ROUND(parsedTable1!H8,2)&amp;" ("&amp;parsedTable1!G8&amp;")"</f>
        <v>0.43 (67)</v>
      </c>
      <c r="F8" s="1" t="str">
        <f>ROUND(parsedTable1!J8,2)&amp;" ("&amp;parsedTable1!I8&amp;")"</f>
        <v>0.43 (138)</v>
      </c>
      <c r="G8" s="1" t="str">
        <f>ROUND(parsedTable1!L8,2)&amp;" ("&amp;parsedTable1!K8&amp;")"</f>
        <v>0.44 (275)</v>
      </c>
      <c r="H8" s="1" t="str">
        <f>ROUND(parsedTable1!N8,2)&amp;" ("&amp;parsedTable1!M8&amp;")"</f>
        <v>0.42 (110)</v>
      </c>
      <c r="I8" s="1" t="str">
        <f>ROUND(parsedTable1!P8,2)&amp;" ("&amp;parsedTable1!O8&amp;")"</f>
        <v>0.34 (41)</v>
      </c>
      <c r="J8" s="1" t="str">
        <f>ROUND(parsedTable1!R8,2)&amp;" ("&amp;parsedTable1!Q8&amp;")"</f>
        <v>0.5 (10)</v>
      </c>
      <c r="K8" s="3">
        <f>parsedTable1!S8</f>
        <v>-3.2258064516128657E-2</v>
      </c>
      <c r="L8" s="3" t="str" cm="1">
        <f t="array" ref="L8">_xlfn.IFS(parsedTable1!U8&lt;0.01,"**",parsedTable1!U8&lt;0.05,"**",parsedTable1!U8&gt;0.05,"")</f>
        <v/>
      </c>
    </row>
    <row r="9" spans="1:12" x14ac:dyDescent="0.35">
      <c r="A9" s="1" t="s">
        <v>78</v>
      </c>
      <c r="B9" s="1" t="s">
        <v>38</v>
      </c>
      <c r="C9" s="1" t="s">
        <v>85</v>
      </c>
      <c r="D9" s="1" t="str">
        <f>ROUND(parsedTable1!F9,2)&amp;" ("&amp;parsedTable1!E9&amp;")"</f>
        <v>0.59 (17)</v>
      </c>
      <c r="E9" s="1" t="str">
        <f>ROUND(parsedTable1!H9,2)&amp;" ("&amp;parsedTable1!G9&amp;")"</f>
        <v>0.56 (48)</v>
      </c>
      <c r="F9" s="1" t="str">
        <f>ROUND(parsedTable1!J9,2)&amp;" ("&amp;parsedTable1!I9&amp;")"</f>
        <v>0.45 (102)</v>
      </c>
      <c r="G9" s="1" t="str">
        <f>ROUND(parsedTable1!L9,2)&amp;" ("&amp;parsedTable1!K9&amp;")"</f>
        <v>0.46 (227)</v>
      </c>
      <c r="H9" s="1" t="str">
        <f>ROUND(parsedTable1!N9,2)&amp;" ("&amp;parsedTable1!M9&amp;")"</f>
        <v>0.48 (98)</v>
      </c>
      <c r="I9" s="1" t="str">
        <f>ROUND(parsedTable1!P9,2)&amp;" ("&amp;parsedTable1!O9&amp;")"</f>
        <v>0.47 (45)</v>
      </c>
      <c r="J9" s="1" t="str">
        <f>ROUND(parsedTable1!R9,2)&amp;" ("&amp;parsedTable1!Q9&amp;")"</f>
        <v>0.45 (20)</v>
      </c>
      <c r="K9" s="3">
        <f>parsedTable1!S9</f>
        <v>3.1699565071929087E-2</v>
      </c>
      <c r="L9" s="3" t="str" cm="1">
        <f t="array" ref="L9">_xlfn.IFS(parsedTable1!U9&lt;0.01,"**",parsedTable1!U9&lt;0.05,"**",parsedTable1!U9&gt;0.05,"")</f>
        <v/>
      </c>
    </row>
    <row r="10" spans="1:12" x14ac:dyDescent="0.35">
      <c r="A10" s="1" t="s">
        <v>70</v>
      </c>
      <c r="B10" s="1" t="s">
        <v>38</v>
      </c>
      <c r="C10" s="1" t="s">
        <v>42</v>
      </c>
      <c r="D10" s="1" t="str">
        <f>ROUND(parsedTable1!F10,2)&amp;" ("&amp;parsedTable1!E10&amp;")"</f>
        <v>0.5 (10)</v>
      </c>
      <c r="E10" s="1" t="str">
        <f>ROUND(parsedTable1!H10,2)&amp;" ("&amp;parsedTable1!G10&amp;")"</f>
        <v>0.55 (31)</v>
      </c>
      <c r="F10" s="1" t="str">
        <f>ROUND(parsedTable1!J10,2)&amp;" ("&amp;parsedTable1!I10&amp;")"</f>
        <v>0.41 (75)</v>
      </c>
      <c r="G10" s="1" t="str">
        <f>ROUND(parsedTable1!L10,2)&amp;" ("&amp;parsedTable1!K10&amp;")"</f>
        <v>0.4 (160)</v>
      </c>
      <c r="H10" s="1" t="str">
        <f>ROUND(parsedTable1!N10,2)&amp;" ("&amp;parsedTable1!M10&amp;")"</f>
        <v>0.33 (58)</v>
      </c>
      <c r="I10" s="1" t="str">
        <f>ROUND(parsedTable1!P10,2)&amp;" ("&amp;parsedTable1!O10&amp;")"</f>
        <v>0.35 (17)</v>
      </c>
      <c r="J10" s="1" t="str">
        <f>ROUND(parsedTable1!R10,2)&amp;" ("&amp;parsedTable1!Q10&amp;")"</f>
        <v>0.2 (5)</v>
      </c>
      <c r="K10" s="3">
        <f>parsedTable1!S10</f>
        <v>-0.12068965517241514</v>
      </c>
      <c r="L10" s="3" t="str" cm="1">
        <f t="array" ref="L10">_xlfn.IFS(parsedTable1!U10&lt;0.01,"**",parsedTable1!U10&lt;0.05,"**",parsedTable1!U10&gt;0.05,"")</f>
        <v/>
      </c>
    </row>
    <row r="11" spans="1:12" x14ac:dyDescent="0.35">
      <c r="A11" s="1" t="s">
        <v>44</v>
      </c>
      <c r="B11" s="1" t="s">
        <v>38</v>
      </c>
      <c r="C11" s="1" t="s">
        <v>42</v>
      </c>
      <c r="D11" s="1" t="str">
        <f>ROUND(parsedTable1!F11,2)&amp;" ("&amp;parsedTable1!E11&amp;")"</f>
        <v>0.31 (16)</v>
      </c>
      <c r="E11" s="1" t="str">
        <f>ROUND(parsedTable1!H11,2)&amp;" ("&amp;parsedTable1!G11&amp;")"</f>
        <v>0.33 (30)</v>
      </c>
      <c r="F11" s="1" t="str">
        <f>ROUND(parsedTable1!J11,2)&amp;" ("&amp;parsedTable1!I11&amp;")"</f>
        <v>0.35 (62)</v>
      </c>
      <c r="G11" s="1" t="str">
        <f>ROUND(parsedTable1!L11,2)&amp;" ("&amp;parsedTable1!K11&amp;")"</f>
        <v>0.35 (118)</v>
      </c>
      <c r="H11" s="1" t="str">
        <f>ROUND(parsedTable1!N11,2)&amp;" ("&amp;parsedTable1!M11&amp;")"</f>
        <v>0.35 (31)</v>
      </c>
      <c r="I11" s="1" t="str">
        <f>ROUND(parsedTable1!P11,2)&amp;" ("&amp;parsedTable1!O11&amp;")"</f>
        <v>0.38 (8)</v>
      </c>
      <c r="J11" s="1" t="str">
        <f>ROUND(parsedTable1!R11,2)&amp;" ("&amp;parsedTable1!Q11&amp;")"</f>
        <v>1 (1)</v>
      </c>
      <c r="K11" s="3">
        <f>parsedTable1!S11</f>
        <v>1.1311269375785049E-2</v>
      </c>
      <c r="L11" s="3" t="str" cm="1">
        <f t="array" ref="L11">_xlfn.IFS(parsedTable1!U11&lt;0.01,"**",parsedTable1!U11&lt;0.05,"**",parsedTable1!U11&gt;0.05,"")</f>
        <v/>
      </c>
    </row>
    <row r="12" spans="1:12" x14ac:dyDescent="0.35">
      <c r="A12" s="1"/>
      <c r="B12" s="1"/>
      <c r="C12" s="1"/>
      <c r="L12" s="3"/>
    </row>
    <row r="13" spans="1:12" x14ac:dyDescent="0.35">
      <c r="A13" s="1" t="s">
        <v>304</v>
      </c>
      <c r="B13" s="1"/>
      <c r="C13" s="1"/>
      <c r="D13" s="5">
        <f>SUMPRODUCT(parsedTable1!F2:F11,parsedTable1!E2:E11)/SUM(parsedTable1!E2:E11)</f>
        <v>0.49999999999999967</v>
      </c>
      <c r="E13" s="5">
        <f>SUMPRODUCT(parsedTable1!H2:H11,parsedTable1!G2:G11)/SUM(parsedTable1!G2:G11)</f>
        <v>0.46572104018912502</v>
      </c>
      <c r="F13" s="5">
        <f>SUMPRODUCT(parsedTable1!J2:J11,parsedTable1!I2:I11)/SUM(parsedTable1!I2:I11)</f>
        <v>0.45999999999999969</v>
      </c>
      <c r="G13" s="5">
        <f>SUMPRODUCT(parsedTable1!L2:L11,parsedTable1!K2:K11)/SUM(parsedTable1!K2:K11)</f>
        <v>0.44851485148514814</v>
      </c>
      <c r="H13" s="5">
        <f>SUMPRODUCT(parsedTable1!N2:N11,parsedTable1!M2:M11)/SUM(parsedTable1!M2:M11)</f>
        <v>0.43425814234016824</v>
      </c>
      <c r="I13" s="5">
        <f>SUMPRODUCT(parsedTable1!P2:P11,parsedTable1!O2:O11)/SUM(parsedTable1!O2:O11)</f>
        <v>0.42990654205607426</v>
      </c>
      <c r="J13" s="5">
        <f>SUMPRODUCT(parsedTable1!R2:R11,parsedTable1!Q2:Q11)/SUM(parsedTable1!Q2:Q11)</f>
        <v>0.43442622950819659</v>
      </c>
      <c r="K13" s="3">
        <f>SUMPRODUCT(K2:K11,parsedTable1!K2:K11)/SUM(parsedTable1!K2:K11)</f>
        <v>-4.3109557779217753E-2</v>
      </c>
      <c r="L13" s="3"/>
    </row>
    <row r="14" spans="1:12" x14ac:dyDescent="0.35">
      <c r="A14" s="1"/>
      <c r="B14" s="1"/>
      <c r="C14" s="1"/>
      <c r="D14" s="1"/>
      <c r="K14" s="3"/>
      <c r="L14" s="3"/>
    </row>
    <row r="15" spans="1:12" x14ac:dyDescent="0.35">
      <c r="A15" s="1"/>
      <c r="B15" s="1"/>
      <c r="D15" s="1"/>
      <c r="L15" s="3"/>
    </row>
    <row r="16" spans="1:12" x14ac:dyDescent="0.35">
      <c r="A16" s="1"/>
      <c r="B16" s="1"/>
      <c r="C16" s="1"/>
      <c r="D16" s="1"/>
      <c r="K16" s="3"/>
      <c r="L16" s="3"/>
    </row>
    <row r="17" spans="1:12" x14ac:dyDescent="0.35">
      <c r="A17" s="1"/>
      <c r="B17" s="1"/>
      <c r="C17" s="1"/>
      <c r="D17" s="1"/>
      <c r="K17" s="3"/>
      <c r="L1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3874-6021-4AD9-BC15-4CB250AE0C24}">
  <dimension ref="A1:N35"/>
  <sheetViews>
    <sheetView topLeftCell="E1" workbookViewId="0">
      <selection activeCell="B21" sqref="B21"/>
    </sheetView>
  </sheetViews>
  <sheetFormatPr defaultRowHeight="14.5" x14ac:dyDescent="0.35"/>
  <cols>
    <col min="1" max="1" width="10.08984375" bestFit="1" customWidth="1"/>
    <col min="2" max="2" width="13.81640625" bestFit="1" customWidth="1"/>
    <col min="3" max="3" width="73.36328125" bestFit="1" customWidth="1"/>
    <col min="4" max="4" width="18" bestFit="1" customWidth="1"/>
    <col min="5" max="5" width="35.90625" bestFit="1" customWidth="1"/>
    <col min="6" max="6" width="7.81640625" bestFit="1" customWidth="1"/>
    <col min="7" max="7" width="5.81640625" bestFit="1" customWidth="1"/>
    <col min="8" max="8" width="7.26953125" bestFit="1" customWidth="1"/>
    <col min="9" max="9" width="4.81640625" bestFit="1" customWidth="1"/>
    <col min="10" max="10" width="5.6328125" bestFit="1" customWidth="1"/>
    <col min="11" max="11" width="17.26953125" bestFit="1" customWidth="1"/>
    <col min="12" max="12" width="74.453125" bestFit="1" customWidth="1"/>
    <col min="13" max="13" width="13.81640625" bestFit="1" customWidth="1"/>
    <col min="14" max="14" width="9.7265625" bestFit="1" customWidth="1"/>
  </cols>
  <sheetData>
    <row r="1" spans="1:14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5241810</v>
      </c>
      <c r="G2" t="s">
        <v>37</v>
      </c>
      <c r="H2" t="s">
        <v>38</v>
      </c>
      <c r="I2" t="s">
        <v>39</v>
      </c>
      <c r="J2">
        <v>1</v>
      </c>
      <c r="K2" t="s">
        <v>40</v>
      </c>
      <c r="L2" t="s">
        <v>41</v>
      </c>
      <c r="M2" t="s">
        <v>33</v>
      </c>
      <c r="N2" t="s">
        <v>42</v>
      </c>
    </row>
    <row r="3" spans="1:14" x14ac:dyDescent="0.35">
      <c r="A3" t="s">
        <v>43</v>
      </c>
      <c r="B3" t="s">
        <v>44</v>
      </c>
      <c r="C3" t="s">
        <v>45</v>
      </c>
      <c r="D3" t="s">
        <v>46</v>
      </c>
      <c r="E3" t="s">
        <v>47</v>
      </c>
      <c r="F3">
        <v>5241811</v>
      </c>
      <c r="G3" t="s">
        <v>48</v>
      </c>
      <c r="H3" t="s">
        <v>38</v>
      </c>
      <c r="J3">
        <v>12</v>
      </c>
      <c r="K3" t="s">
        <v>49</v>
      </c>
      <c r="L3" t="s">
        <v>50</v>
      </c>
      <c r="M3" t="s">
        <v>44</v>
      </c>
      <c r="N3" t="s">
        <v>42</v>
      </c>
    </row>
    <row r="4" spans="1:14" x14ac:dyDescent="0.35">
      <c r="A4" t="s">
        <v>51</v>
      </c>
      <c r="B4" t="s">
        <v>52</v>
      </c>
      <c r="C4" t="s">
        <v>53</v>
      </c>
      <c r="D4" t="s">
        <v>54</v>
      </c>
      <c r="E4" t="s">
        <v>55</v>
      </c>
      <c r="F4">
        <v>5313304</v>
      </c>
      <c r="G4" t="s">
        <v>56</v>
      </c>
      <c r="H4" t="s">
        <v>57</v>
      </c>
      <c r="J4">
        <v>10</v>
      </c>
      <c r="K4" t="s">
        <v>58</v>
      </c>
      <c r="L4" t="s">
        <v>59</v>
      </c>
      <c r="M4" t="s">
        <v>52</v>
      </c>
      <c r="N4" t="s">
        <v>60</v>
      </c>
    </row>
    <row r="5" spans="1:14" x14ac:dyDescent="0.35">
      <c r="A5" t="s">
        <v>61</v>
      </c>
      <c r="B5" t="s">
        <v>62</v>
      </c>
      <c r="C5" t="s">
        <v>63</v>
      </c>
      <c r="D5" t="s">
        <v>64</v>
      </c>
      <c r="E5" t="s">
        <v>65</v>
      </c>
      <c r="F5">
        <v>5313306</v>
      </c>
      <c r="G5" t="s">
        <v>66</v>
      </c>
      <c r="H5" t="s">
        <v>38</v>
      </c>
      <c r="J5">
        <v>20</v>
      </c>
      <c r="K5" t="s">
        <v>67</v>
      </c>
      <c r="L5" t="s">
        <v>68</v>
      </c>
      <c r="M5" t="s">
        <v>62</v>
      </c>
      <c r="N5" t="s">
        <v>60</v>
      </c>
    </row>
    <row r="6" spans="1:14" x14ac:dyDescent="0.35">
      <c r="A6" t="s">
        <v>69</v>
      </c>
      <c r="B6" t="s">
        <v>70</v>
      </c>
      <c r="C6" t="s">
        <v>71</v>
      </c>
      <c r="D6" t="s">
        <v>72</v>
      </c>
      <c r="E6" t="s">
        <v>73</v>
      </c>
      <c r="F6">
        <v>5241809</v>
      </c>
      <c r="G6" t="s">
        <v>74</v>
      </c>
      <c r="H6" t="s">
        <v>38</v>
      </c>
      <c r="J6">
        <v>33</v>
      </c>
      <c r="K6" t="s">
        <v>75</v>
      </c>
      <c r="L6" t="s">
        <v>76</v>
      </c>
      <c r="M6" t="s">
        <v>70</v>
      </c>
      <c r="N6" t="s">
        <v>42</v>
      </c>
    </row>
    <row r="7" spans="1:14" x14ac:dyDescent="0.35">
      <c r="A7" t="s">
        <v>77</v>
      </c>
      <c r="B7" t="s">
        <v>78</v>
      </c>
      <c r="C7" t="s">
        <v>79</v>
      </c>
      <c r="D7" t="s">
        <v>80</v>
      </c>
      <c r="E7" t="s">
        <v>81</v>
      </c>
      <c r="F7">
        <v>5176410</v>
      </c>
      <c r="G7" t="s">
        <v>82</v>
      </c>
      <c r="H7" t="s">
        <v>38</v>
      </c>
      <c r="J7">
        <v>22</v>
      </c>
      <c r="K7" t="s">
        <v>83</v>
      </c>
      <c r="L7" t="s">
        <v>84</v>
      </c>
      <c r="M7" t="s">
        <v>78</v>
      </c>
      <c r="N7" t="s">
        <v>85</v>
      </c>
    </row>
    <row r="8" spans="1:14" x14ac:dyDescent="0.35">
      <c r="A8" t="s">
        <v>86</v>
      </c>
      <c r="B8" t="s">
        <v>87</v>
      </c>
      <c r="C8" t="s">
        <v>88</v>
      </c>
      <c r="D8" t="s">
        <v>89</v>
      </c>
      <c r="E8" t="s">
        <v>90</v>
      </c>
      <c r="F8">
        <v>5313303</v>
      </c>
      <c r="G8" t="s">
        <v>48</v>
      </c>
      <c r="H8" t="s">
        <v>38</v>
      </c>
      <c r="J8">
        <v>4</v>
      </c>
      <c r="K8" t="s">
        <v>91</v>
      </c>
      <c r="L8" t="s">
        <v>92</v>
      </c>
      <c r="M8" t="s">
        <v>87</v>
      </c>
      <c r="N8" t="s">
        <v>60</v>
      </c>
    </row>
    <row r="9" spans="1:14" x14ac:dyDescent="0.35">
      <c r="A9" t="s">
        <v>93</v>
      </c>
      <c r="B9" t="s">
        <v>94</v>
      </c>
      <c r="C9" t="s">
        <v>95</v>
      </c>
      <c r="D9" t="s">
        <v>96</v>
      </c>
      <c r="E9" t="s">
        <v>97</v>
      </c>
      <c r="F9">
        <v>5176408</v>
      </c>
      <c r="G9" t="s">
        <v>98</v>
      </c>
      <c r="H9" t="s">
        <v>38</v>
      </c>
      <c r="J9">
        <v>5</v>
      </c>
      <c r="K9" t="s">
        <v>99</v>
      </c>
      <c r="L9" t="s">
        <v>100</v>
      </c>
      <c r="M9" t="s">
        <v>94</v>
      </c>
      <c r="N9" t="s">
        <v>85</v>
      </c>
    </row>
    <row r="10" spans="1:14" x14ac:dyDescent="0.35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>
        <v>5176407</v>
      </c>
      <c r="G10" t="s">
        <v>106</v>
      </c>
      <c r="H10" t="s">
        <v>38</v>
      </c>
      <c r="J10">
        <v>0</v>
      </c>
      <c r="K10" t="s">
        <v>107</v>
      </c>
      <c r="L10" t="s">
        <v>108</v>
      </c>
      <c r="M10" t="s">
        <v>102</v>
      </c>
      <c r="N10" t="s">
        <v>85</v>
      </c>
    </row>
    <row r="11" spans="1:14" x14ac:dyDescent="0.35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>
        <v>5108936</v>
      </c>
      <c r="G11" t="s">
        <v>82</v>
      </c>
      <c r="H11" t="s">
        <v>38</v>
      </c>
      <c r="I11" t="s">
        <v>114</v>
      </c>
      <c r="J11">
        <v>3</v>
      </c>
      <c r="K11" t="s">
        <v>40</v>
      </c>
      <c r="L11" t="s">
        <v>115</v>
      </c>
      <c r="M11" t="s">
        <v>110</v>
      </c>
      <c r="N11" t="s">
        <v>116</v>
      </c>
    </row>
    <row r="12" spans="1:14" x14ac:dyDescent="0.35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>
        <v>5241812</v>
      </c>
      <c r="G12" t="s">
        <v>48</v>
      </c>
      <c r="H12" t="s">
        <v>38</v>
      </c>
      <c r="J12">
        <v>21</v>
      </c>
      <c r="K12" t="s">
        <v>122</v>
      </c>
      <c r="L12" t="s">
        <v>123</v>
      </c>
      <c r="M12" t="s">
        <v>118</v>
      </c>
      <c r="N12" t="s">
        <v>42</v>
      </c>
    </row>
    <row r="13" spans="1:14" x14ac:dyDescent="0.35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>
        <v>5313307</v>
      </c>
      <c r="G13" t="s">
        <v>129</v>
      </c>
      <c r="H13" t="s">
        <v>38</v>
      </c>
      <c r="J13">
        <v>25</v>
      </c>
      <c r="K13" t="s">
        <v>130</v>
      </c>
      <c r="L13" t="s">
        <v>131</v>
      </c>
      <c r="M13" t="s">
        <v>125</v>
      </c>
      <c r="N13" t="s">
        <v>60</v>
      </c>
    </row>
    <row r="14" spans="1:14" x14ac:dyDescent="0.35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>
        <v>5108938</v>
      </c>
      <c r="G14" t="s">
        <v>137</v>
      </c>
      <c r="H14" t="s">
        <v>57</v>
      </c>
      <c r="J14">
        <v>32</v>
      </c>
      <c r="K14" t="s">
        <v>130</v>
      </c>
      <c r="L14" t="s">
        <v>138</v>
      </c>
      <c r="M14" t="s">
        <v>133</v>
      </c>
      <c r="N14" t="s">
        <v>116</v>
      </c>
    </row>
    <row r="15" spans="1:14" x14ac:dyDescent="0.3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>
        <v>5313305</v>
      </c>
      <c r="G15" t="s">
        <v>137</v>
      </c>
      <c r="H15" t="s">
        <v>57</v>
      </c>
      <c r="J15">
        <v>11</v>
      </c>
      <c r="K15" t="s">
        <v>144</v>
      </c>
      <c r="L15" t="s">
        <v>145</v>
      </c>
      <c r="M15" t="s">
        <v>140</v>
      </c>
      <c r="N15" t="s">
        <v>60</v>
      </c>
    </row>
    <row r="16" spans="1:14" x14ac:dyDescent="0.3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>
        <v>5313690</v>
      </c>
      <c r="G16" t="s">
        <v>151</v>
      </c>
      <c r="H16" t="s">
        <v>57</v>
      </c>
      <c r="I16" t="s">
        <v>114</v>
      </c>
      <c r="J16">
        <v>3</v>
      </c>
      <c r="K16" t="s">
        <v>152</v>
      </c>
      <c r="L16" t="s">
        <v>153</v>
      </c>
      <c r="M16" t="s">
        <v>147</v>
      </c>
      <c r="N16" t="s">
        <v>60</v>
      </c>
    </row>
    <row r="17" spans="1:14" x14ac:dyDescent="0.35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>
        <v>5106245</v>
      </c>
      <c r="G17" t="s">
        <v>159</v>
      </c>
      <c r="H17" t="s">
        <v>38</v>
      </c>
      <c r="J17">
        <v>24</v>
      </c>
      <c r="K17" t="s">
        <v>160</v>
      </c>
      <c r="L17" t="s">
        <v>161</v>
      </c>
      <c r="M17" t="s">
        <v>155</v>
      </c>
      <c r="N17" t="s">
        <v>116</v>
      </c>
    </row>
    <row r="18" spans="1:14" x14ac:dyDescent="0.35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>
        <v>5175898</v>
      </c>
      <c r="G18" t="s">
        <v>56</v>
      </c>
      <c r="H18" t="s">
        <v>38</v>
      </c>
      <c r="J18">
        <v>5</v>
      </c>
      <c r="K18" t="s">
        <v>167</v>
      </c>
      <c r="L18" t="s">
        <v>168</v>
      </c>
      <c r="M18" t="s">
        <v>163</v>
      </c>
      <c r="N18" t="s">
        <v>85</v>
      </c>
    </row>
    <row r="19" spans="1:14" x14ac:dyDescent="0.35">
      <c r="A19" t="s">
        <v>169</v>
      </c>
      <c r="B19" t="s">
        <v>170</v>
      </c>
      <c r="C19" t="s">
        <v>171</v>
      </c>
      <c r="D19" t="s">
        <v>172</v>
      </c>
      <c r="E19" s="4" t="s">
        <v>173</v>
      </c>
      <c r="F19">
        <v>5313691</v>
      </c>
      <c r="G19" t="s">
        <v>56</v>
      </c>
      <c r="H19" t="s">
        <v>38</v>
      </c>
      <c r="J19">
        <v>12</v>
      </c>
      <c r="K19" t="s">
        <v>91</v>
      </c>
      <c r="L19" t="s">
        <v>174</v>
      </c>
      <c r="M19" t="s">
        <v>170</v>
      </c>
      <c r="N19" t="s">
        <v>60</v>
      </c>
    </row>
    <row r="20" spans="1:14" x14ac:dyDescent="0.35">
      <c r="A20" t="s">
        <v>175</v>
      </c>
      <c r="B20" t="s">
        <v>176</v>
      </c>
      <c r="C20" t="s">
        <v>177</v>
      </c>
      <c r="D20" t="s">
        <v>178</v>
      </c>
      <c r="E20" t="s">
        <v>179</v>
      </c>
      <c r="F20">
        <v>5175900</v>
      </c>
      <c r="G20" t="s">
        <v>180</v>
      </c>
      <c r="H20" t="s">
        <v>38</v>
      </c>
      <c r="J20">
        <v>22</v>
      </c>
      <c r="K20" t="s">
        <v>122</v>
      </c>
      <c r="L20" t="s">
        <v>181</v>
      </c>
      <c r="M20" t="s">
        <v>176</v>
      </c>
      <c r="N20" t="s">
        <v>116</v>
      </c>
    </row>
    <row r="21" spans="1:14" x14ac:dyDescent="0.35">
      <c r="A21" t="s">
        <v>182</v>
      </c>
      <c r="B21" t="s">
        <v>183</v>
      </c>
      <c r="C21" t="s">
        <v>184</v>
      </c>
      <c r="D21" t="s">
        <v>185</v>
      </c>
      <c r="E21" t="s">
        <v>186</v>
      </c>
      <c r="F21">
        <v>5313688</v>
      </c>
      <c r="G21" t="s">
        <v>159</v>
      </c>
      <c r="H21" t="s">
        <v>38</v>
      </c>
      <c r="J21">
        <v>0</v>
      </c>
      <c r="K21" t="s">
        <v>187</v>
      </c>
      <c r="L21" t="s">
        <v>188</v>
      </c>
      <c r="M21" t="s">
        <v>183</v>
      </c>
      <c r="N21" t="s">
        <v>85</v>
      </c>
    </row>
    <row r="22" spans="1:14" x14ac:dyDescent="0.35">
      <c r="A22" t="s">
        <v>189</v>
      </c>
      <c r="B22" t="s">
        <v>190</v>
      </c>
      <c r="C22" t="s">
        <v>191</v>
      </c>
      <c r="D22" t="s">
        <v>192</v>
      </c>
      <c r="E22" t="s">
        <v>193</v>
      </c>
      <c r="F22">
        <v>5313689</v>
      </c>
      <c r="G22" t="s">
        <v>37</v>
      </c>
      <c r="H22" t="s">
        <v>38</v>
      </c>
      <c r="I22" t="s">
        <v>39</v>
      </c>
      <c r="J22">
        <v>1</v>
      </c>
      <c r="K22" t="s">
        <v>194</v>
      </c>
      <c r="L22" t="s">
        <v>195</v>
      </c>
      <c r="M22" t="s">
        <v>190</v>
      </c>
      <c r="N22" t="s">
        <v>60</v>
      </c>
    </row>
    <row r="23" spans="1:14" x14ac:dyDescent="0.35">
      <c r="A23" t="s">
        <v>196</v>
      </c>
      <c r="B23" t="s">
        <v>197</v>
      </c>
      <c r="C23" t="s">
        <v>198</v>
      </c>
      <c r="D23" t="s">
        <v>199</v>
      </c>
      <c r="E23" t="s">
        <v>200</v>
      </c>
      <c r="F23">
        <v>5106243</v>
      </c>
      <c r="G23" t="s">
        <v>180</v>
      </c>
      <c r="H23" t="s">
        <v>38</v>
      </c>
      <c r="J23">
        <v>8</v>
      </c>
      <c r="K23" t="s">
        <v>201</v>
      </c>
      <c r="L23" t="s">
        <v>202</v>
      </c>
      <c r="M23" t="s">
        <v>197</v>
      </c>
      <c r="N23" t="s">
        <v>116</v>
      </c>
    </row>
    <row r="24" spans="1:14" x14ac:dyDescent="0.35">
      <c r="A24" t="s">
        <v>203</v>
      </c>
      <c r="B24" t="s">
        <v>204</v>
      </c>
      <c r="C24" t="s">
        <v>205</v>
      </c>
      <c r="D24" t="s">
        <v>206</v>
      </c>
      <c r="E24" t="s">
        <v>207</v>
      </c>
      <c r="F24">
        <v>5175897</v>
      </c>
      <c r="G24" t="s">
        <v>208</v>
      </c>
      <c r="H24" t="s">
        <v>57</v>
      </c>
      <c r="I24" t="s">
        <v>209</v>
      </c>
      <c r="J24">
        <v>2</v>
      </c>
      <c r="K24" t="s">
        <v>210</v>
      </c>
      <c r="L24" t="s">
        <v>211</v>
      </c>
      <c r="M24" t="s">
        <v>204</v>
      </c>
      <c r="N24" t="s">
        <v>85</v>
      </c>
    </row>
    <row r="25" spans="1:14" x14ac:dyDescent="0.35">
      <c r="A25" t="s">
        <v>212</v>
      </c>
      <c r="B25" t="s">
        <v>213</v>
      </c>
      <c r="C25" t="s">
        <v>214</v>
      </c>
      <c r="D25" t="s">
        <v>215</v>
      </c>
      <c r="E25" t="s">
        <v>216</v>
      </c>
      <c r="F25">
        <v>5241719</v>
      </c>
      <c r="G25" t="s">
        <v>208</v>
      </c>
      <c r="H25" t="s">
        <v>57</v>
      </c>
      <c r="J25">
        <v>11</v>
      </c>
      <c r="K25" t="s">
        <v>217</v>
      </c>
      <c r="L25" t="s">
        <v>218</v>
      </c>
      <c r="M25" t="s">
        <v>213</v>
      </c>
      <c r="N25" t="s">
        <v>42</v>
      </c>
    </row>
    <row r="26" spans="1:14" x14ac:dyDescent="0.35">
      <c r="A26" t="s">
        <v>219</v>
      </c>
      <c r="B26" t="s">
        <v>220</v>
      </c>
      <c r="C26" t="s">
        <v>221</v>
      </c>
      <c r="D26" t="s">
        <v>222</v>
      </c>
      <c r="E26" t="s">
        <v>223</v>
      </c>
      <c r="F26">
        <v>5174972</v>
      </c>
      <c r="G26" t="s">
        <v>224</v>
      </c>
      <c r="H26" t="s">
        <v>57</v>
      </c>
      <c r="J26">
        <v>55</v>
      </c>
      <c r="K26" t="s">
        <v>225</v>
      </c>
      <c r="L26" t="s">
        <v>226</v>
      </c>
      <c r="M26" t="s">
        <v>220</v>
      </c>
      <c r="N26" t="s">
        <v>85</v>
      </c>
    </row>
    <row r="27" spans="1:14" x14ac:dyDescent="0.35">
      <c r="A27" t="s">
        <v>227</v>
      </c>
      <c r="B27" t="s">
        <v>228</v>
      </c>
      <c r="C27" t="s">
        <v>229</v>
      </c>
      <c r="D27" t="s">
        <v>230</v>
      </c>
      <c r="E27" t="s">
        <v>231</v>
      </c>
      <c r="F27">
        <v>5313692</v>
      </c>
      <c r="G27" t="s">
        <v>208</v>
      </c>
      <c r="H27" t="s">
        <v>57</v>
      </c>
      <c r="J27">
        <v>15</v>
      </c>
      <c r="K27" t="s">
        <v>232</v>
      </c>
      <c r="L27" t="s">
        <v>233</v>
      </c>
      <c r="M27" t="s">
        <v>228</v>
      </c>
      <c r="N27" t="s">
        <v>60</v>
      </c>
    </row>
    <row r="28" spans="1:14" x14ac:dyDescent="0.35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F28">
        <v>5241718</v>
      </c>
      <c r="G28" t="s">
        <v>180</v>
      </c>
      <c r="H28" t="s">
        <v>38</v>
      </c>
      <c r="J28">
        <v>7</v>
      </c>
      <c r="K28" t="s">
        <v>239</v>
      </c>
      <c r="L28" t="s">
        <v>240</v>
      </c>
      <c r="M28" t="s">
        <v>235</v>
      </c>
      <c r="N28" t="s">
        <v>42</v>
      </c>
    </row>
    <row r="29" spans="1:14" x14ac:dyDescent="0.35">
      <c r="A29" t="s">
        <v>241</v>
      </c>
      <c r="B29" t="s">
        <v>242</v>
      </c>
      <c r="C29" t="s">
        <v>243</v>
      </c>
      <c r="D29" t="s">
        <v>244</v>
      </c>
      <c r="E29" t="s">
        <v>245</v>
      </c>
      <c r="F29">
        <v>4684840</v>
      </c>
      <c r="G29" t="s">
        <v>246</v>
      </c>
      <c r="H29" t="s">
        <v>57</v>
      </c>
      <c r="J29">
        <v>23</v>
      </c>
      <c r="K29" t="s">
        <v>247</v>
      </c>
      <c r="L29" t="s">
        <v>248</v>
      </c>
      <c r="M29" t="s">
        <v>242</v>
      </c>
      <c r="N29" t="s">
        <v>116</v>
      </c>
    </row>
    <row r="30" spans="1:14" x14ac:dyDescent="0.35">
      <c r="A30" t="s">
        <v>249</v>
      </c>
      <c r="B30" t="s">
        <v>250</v>
      </c>
      <c r="C30" t="s">
        <v>251</v>
      </c>
      <c r="D30" t="s">
        <v>252</v>
      </c>
      <c r="E30" t="s">
        <v>253</v>
      </c>
      <c r="F30">
        <v>5106247</v>
      </c>
      <c r="G30" t="s">
        <v>37</v>
      </c>
      <c r="H30" t="s">
        <v>38</v>
      </c>
      <c r="J30">
        <v>31</v>
      </c>
      <c r="K30" t="s">
        <v>254</v>
      </c>
      <c r="L30" t="s">
        <v>255</v>
      </c>
      <c r="M30" t="s">
        <v>250</v>
      </c>
      <c r="N30" t="s">
        <v>116</v>
      </c>
    </row>
    <row r="31" spans="1:14" x14ac:dyDescent="0.35">
      <c r="A31" t="s">
        <v>256</v>
      </c>
      <c r="B31" t="s">
        <v>257</v>
      </c>
      <c r="C31" t="s">
        <v>258</v>
      </c>
      <c r="D31" t="s">
        <v>259</v>
      </c>
      <c r="E31" t="s">
        <v>260</v>
      </c>
      <c r="F31">
        <v>5241716</v>
      </c>
      <c r="G31" t="s">
        <v>159</v>
      </c>
      <c r="H31" t="s">
        <v>57</v>
      </c>
      <c r="J31">
        <v>4</v>
      </c>
      <c r="K31" t="s">
        <v>261</v>
      </c>
      <c r="L31" t="s">
        <v>262</v>
      </c>
      <c r="M31" t="s">
        <v>257</v>
      </c>
      <c r="N31" t="s">
        <v>42</v>
      </c>
    </row>
    <row r="32" spans="1:14" x14ac:dyDescent="0.35">
      <c r="A32" t="s">
        <v>263</v>
      </c>
      <c r="B32" t="s">
        <v>264</v>
      </c>
      <c r="C32" t="s">
        <v>265</v>
      </c>
      <c r="D32" t="s">
        <v>266</v>
      </c>
      <c r="E32" t="s">
        <v>267</v>
      </c>
      <c r="F32">
        <v>5241717</v>
      </c>
      <c r="G32" t="s">
        <v>98</v>
      </c>
      <c r="H32" t="s">
        <v>38</v>
      </c>
      <c r="J32">
        <v>10</v>
      </c>
      <c r="K32" t="s">
        <v>268</v>
      </c>
      <c r="L32" t="s">
        <v>269</v>
      </c>
      <c r="M32" t="s">
        <v>264</v>
      </c>
      <c r="N32" t="s">
        <v>42</v>
      </c>
    </row>
    <row r="33" spans="1:14" x14ac:dyDescent="0.35">
      <c r="A33" t="s">
        <v>270</v>
      </c>
      <c r="B33" t="s">
        <v>271</v>
      </c>
      <c r="C33" t="s">
        <v>272</v>
      </c>
      <c r="D33" t="s">
        <v>273</v>
      </c>
      <c r="E33" t="s">
        <v>274</v>
      </c>
      <c r="F33">
        <v>5241720</v>
      </c>
      <c r="G33" t="s">
        <v>246</v>
      </c>
      <c r="H33" t="s">
        <v>38</v>
      </c>
      <c r="J33">
        <v>13</v>
      </c>
      <c r="K33" t="s">
        <v>275</v>
      </c>
      <c r="L33" t="s">
        <v>276</v>
      </c>
      <c r="M33" t="s">
        <v>271</v>
      </c>
      <c r="N33" t="s">
        <v>42</v>
      </c>
    </row>
    <row r="34" spans="1:14" x14ac:dyDescent="0.35">
      <c r="A34" t="s">
        <v>277</v>
      </c>
      <c r="B34" t="s">
        <v>278</v>
      </c>
      <c r="C34" t="s">
        <v>279</v>
      </c>
      <c r="D34" t="s">
        <v>280</v>
      </c>
      <c r="E34" t="s">
        <v>281</v>
      </c>
      <c r="F34">
        <v>5176404</v>
      </c>
      <c r="G34" t="s">
        <v>282</v>
      </c>
      <c r="H34" t="s">
        <v>57</v>
      </c>
      <c r="J34">
        <v>21</v>
      </c>
      <c r="K34" t="s">
        <v>283</v>
      </c>
      <c r="L34" t="s">
        <v>284</v>
      </c>
      <c r="M34" t="s">
        <v>278</v>
      </c>
      <c r="N34" t="s">
        <v>85</v>
      </c>
    </row>
    <row r="35" spans="1:14" x14ac:dyDescent="0.35">
      <c r="A35" t="s">
        <v>285</v>
      </c>
      <c r="B35" t="s">
        <v>286</v>
      </c>
      <c r="C35" t="s">
        <v>287</v>
      </c>
      <c r="D35" t="s">
        <v>288</v>
      </c>
      <c r="E35" t="s">
        <v>289</v>
      </c>
      <c r="F35">
        <v>5196671</v>
      </c>
      <c r="G35" t="s">
        <v>82</v>
      </c>
      <c r="H35" t="s">
        <v>38</v>
      </c>
      <c r="J35">
        <v>14</v>
      </c>
      <c r="K35" t="s">
        <v>290</v>
      </c>
      <c r="L35" t="s">
        <v>291</v>
      </c>
      <c r="M35" t="s">
        <v>286</v>
      </c>
      <c r="N3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rawTable1</vt:lpstr>
      <vt:lpstr>parsedTable1</vt:lpstr>
      <vt:lpstr>finalTable1</vt:lpstr>
      <vt:lpstr>rosters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Chinchalkar</dc:creator>
  <cp:lastModifiedBy>Nikhil Chinchalkar</cp:lastModifiedBy>
  <dcterms:created xsi:type="dcterms:W3CDTF">2026-02-21T20:13:05Z</dcterms:created>
  <dcterms:modified xsi:type="dcterms:W3CDTF">2026-03-21T22:30:23Z</dcterms:modified>
</cp:coreProperties>
</file>