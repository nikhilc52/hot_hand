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OneDrive\Documents\GitHub\brsn_hot_hand\analysis\"/>
    </mc:Choice>
  </mc:AlternateContent>
  <xr:revisionPtr revIDLastSave="0" documentId="13_ncr:1_{368622AE-494C-4085-8B91-7553861DF378}" xr6:coauthVersionLast="47" xr6:coauthVersionMax="47" xr10:uidLastSave="{00000000-0000-0000-0000-000000000000}"/>
  <bookViews>
    <workbookView xWindow="-110" yWindow="-110" windowWidth="22620" windowHeight="13500" xr2:uid="{220D2940-96CA-40C7-A2A5-1CEE7AE4BF13}"/>
  </bookViews>
  <sheets>
    <sheet name="original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6" l="1"/>
  <c r="Q10" i="6" s="1"/>
  <c r="P2" i="6"/>
  <c r="Q2" i="6" s="1"/>
  <c r="R2" i="6" s="1"/>
  <c r="P4" i="6"/>
  <c r="Q4" i="6" s="1"/>
  <c r="R4" i="6" s="1"/>
  <c r="P5" i="6"/>
  <c r="Q5" i="6" s="1"/>
  <c r="R5" i="6" s="1"/>
  <c r="P6" i="6"/>
  <c r="Q6" i="6" s="1"/>
  <c r="R6" i="6" s="1"/>
  <c r="P7" i="6"/>
  <c r="Q7" i="6" s="1"/>
  <c r="R7" i="6" s="1"/>
  <c r="P8" i="6"/>
  <c r="Q8" i="6" s="1"/>
  <c r="R8" i="6" s="1"/>
  <c r="P9" i="6"/>
  <c r="Q9" i="6" s="1"/>
  <c r="R9" i="6" s="1"/>
  <c r="P3" i="6"/>
  <c r="Q3" i="6" s="1"/>
  <c r="R3" i="6" s="1"/>
  <c r="R10" i="6" l="1"/>
</calcChain>
</file>

<file path=xl/sharedStrings.xml><?xml version="1.0" encoding="utf-8"?>
<sst xmlns="http://schemas.openxmlformats.org/spreadsheetml/2006/main" count="18" uniqueCount="18">
  <si>
    <t>athleteId</t>
  </si>
  <si>
    <t>countHit</t>
  </si>
  <si>
    <t>prHit</t>
  </si>
  <si>
    <t>count3Misses</t>
  </si>
  <si>
    <t>prHit3Misses</t>
  </si>
  <si>
    <t>count2Misses</t>
  </si>
  <si>
    <t>prHit2Misses</t>
  </si>
  <si>
    <t>count1Miss</t>
  </si>
  <si>
    <t>prHit1Miss</t>
  </si>
  <si>
    <t>count1Make</t>
  </si>
  <si>
    <t>prHit1Make</t>
  </si>
  <si>
    <t>count2Makes</t>
  </si>
  <si>
    <t>prHit2Makes</t>
  </si>
  <si>
    <t>count3Makes</t>
  </si>
  <si>
    <t>prHit3Makes</t>
  </si>
  <si>
    <t>serialCorrelation</t>
  </si>
  <si>
    <t>Pvalue</t>
  </si>
  <si>
    <t>yuleWalkerEstimateZ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</si>
</sst>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9929A3-3981-4C9C-A04C-679B2A9B2CCF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9AF7FDC5-8ADF-48C7-9B72-A974898A941E}"/>
    <we:binding id="Input1" type="matrix" appref="{B141C23E-F562-42B8-833B-E5D0602AB5C8}"/>
    <we:binding id="Input2" type="matrix" appref="{BF281E59-4235-41CF-84A7-F2DEB761782D}"/>
    <we:binding id="Output" type="matrix" appref="{60938971-AA37-402E-9336-EEDE41C0790C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E2FC-204A-4D35-BA87-1558E3D399BA}">
  <dimension ref="A1:R18"/>
  <sheetViews>
    <sheetView tabSelected="1" zoomScale="81" workbookViewId="0">
      <selection activeCell="F24" sqref="F24"/>
    </sheetView>
  </sheetViews>
  <sheetFormatPr defaultRowHeight="14.5" x14ac:dyDescent="0.35"/>
  <cols>
    <col min="1" max="1" width="8" bestFit="1" customWidth="1"/>
    <col min="2" max="2" width="12.08984375" bestFit="1" customWidth="1"/>
    <col min="3" max="3" width="11.453125" style="4" bestFit="1" customWidth="1"/>
    <col min="4" max="4" width="12.08984375" bestFit="1" customWidth="1"/>
    <col min="5" max="5" width="11.453125" bestFit="1" customWidth="1"/>
    <col min="6" max="6" width="10.1796875" bestFit="1" customWidth="1"/>
    <col min="7" max="7" width="9.54296875" bestFit="1" customWidth="1"/>
    <col min="8" max="8" width="7.81640625" bestFit="1" customWidth="1"/>
    <col min="9" max="9" width="4.81640625" style="4" bestFit="1" customWidth="1"/>
    <col min="10" max="10" width="10.90625" style="4" customWidth="1"/>
    <col min="11" max="11" width="10.1796875" style="4" bestFit="1" customWidth="1"/>
    <col min="12" max="12" width="11.7265625" style="4" bestFit="1" customWidth="1"/>
    <col min="13" max="13" width="11.08984375" style="4" bestFit="1" customWidth="1"/>
    <col min="14" max="14" width="11.7265625" style="4" bestFit="1" customWidth="1"/>
    <col min="15" max="15" width="11.08984375" style="4" bestFit="1" customWidth="1"/>
    <col min="16" max="16" width="14.453125" style="3" bestFit="1" customWidth="1"/>
    <col min="17" max="17" width="18" bestFit="1" customWidth="1"/>
    <col min="18" max="18" width="6.36328125" bestFit="1" customWidth="1"/>
    <col min="19" max="19" width="12.26953125" customWidth="1"/>
  </cols>
  <sheetData>
    <row r="1" spans="1:18" x14ac:dyDescent="0.35">
      <c r="A1" s="1" t="s">
        <v>0</v>
      </c>
      <c r="B1" s="1" t="s">
        <v>3</v>
      </c>
      <c r="C1" s="4" t="s">
        <v>4</v>
      </c>
      <c r="D1" s="1" t="s">
        <v>5</v>
      </c>
      <c r="E1" s="2" t="s">
        <v>6</v>
      </c>
      <c r="F1" s="1" t="s">
        <v>7</v>
      </c>
      <c r="G1" s="2" t="s">
        <v>8</v>
      </c>
      <c r="H1" s="1" t="s">
        <v>1</v>
      </c>
      <c r="I1" s="4" t="s">
        <v>2</v>
      </c>
      <c r="J1" s="1" t="s">
        <v>9</v>
      </c>
      <c r="K1" s="4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3" t="s">
        <v>15</v>
      </c>
      <c r="Q1" t="s">
        <v>17</v>
      </c>
      <c r="R1" t="s">
        <v>16</v>
      </c>
    </row>
    <row r="2" spans="1:18" x14ac:dyDescent="0.35">
      <c r="A2" s="1">
        <v>1</v>
      </c>
      <c r="B2" s="1">
        <v>12</v>
      </c>
      <c r="C2" s="4">
        <v>0.5</v>
      </c>
      <c r="D2" s="1">
        <v>32</v>
      </c>
      <c r="E2" s="4">
        <v>0.47</v>
      </c>
      <c r="F2" s="1">
        <v>101</v>
      </c>
      <c r="G2" s="4">
        <v>0.56000000000000005</v>
      </c>
      <c r="H2" s="1">
        <v>248</v>
      </c>
      <c r="I2" s="4">
        <v>0.5</v>
      </c>
      <c r="J2" s="1">
        <v>105</v>
      </c>
      <c r="K2" s="4">
        <v>0.49</v>
      </c>
      <c r="L2" s="1">
        <v>46</v>
      </c>
      <c r="M2" s="4">
        <v>0.5</v>
      </c>
      <c r="N2" s="1">
        <v>21</v>
      </c>
      <c r="O2" s="4">
        <v>0.48</v>
      </c>
      <c r="P2" s="3">
        <f>((K2*I2)-(I2*I2))/(I2*(1-I2))</f>
        <v>-2.0000000000000018E-2</v>
      </c>
      <c r="Q2" s="2">
        <f>SQRT(H2)*P2</f>
        <v>-0.31496031496047272</v>
      </c>
      <c r="R2" s="2">
        <f t="shared" ref="R2:R10" si="0">2*(1-_xlfn.NORM.S.DIST(ABS(Q2),TRUE))</f>
        <v>0.75279178553202297</v>
      </c>
    </row>
    <row r="3" spans="1:18" x14ac:dyDescent="0.35">
      <c r="A3" s="1">
        <v>2</v>
      </c>
      <c r="B3" s="1">
        <v>90</v>
      </c>
      <c r="C3" s="4">
        <v>0.52</v>
      </c>
      <c r="D3" s="1">
        <v>191</v>
      </c>
      <c r="E3" s="4">
        <v>0.51</v>
      </c>
      <c r="F3" s="1">
        <v>408</v>
      </c>
      <c r="G3" s="4">
        <v>0.51</v>
      </c>
      <c r="H3" s="1">
        <v>884</v>
      </c>
      <c r="I3" s="4">
        <v>0.52</v>
      </c>
      <c r="J3" s="1">
        <v>428</v>
      </c>
      <c r="K3" s="4">
        <v>0.53</v>
      </c>
      <c r="L3" s="1">
        <v>211</v>
      </c>
      <c r="M3" s="4">
        <v>0.52</v>
      </c>
      <c r="N3" s="1">
        <v>97</v>
      </c>
      <c r="O3" s="4">
        <v>0.48</v>
      </c>
      <c r="P3" s="3">
        <f>((K3*I3)-(I3*I3))/(I3*(1-I3))</f>
        <v>2.0833333333333263E-2</v>
      </c>
      <c r="Q3" s="2">
        <f>SQRT(H3)*P3</f>
        <v>0.61941953113826898</v>
      </c>
      <c r="R3" s="2">
        <f t="shared" si="0"/>
        <v>0.53564001777105474</v>
      </c>
    </row>
    <row r="4" spans="1:18" x14ac:dyDescent="0.35">
      <c r="A4" s="1">
        <v>3</v>
      </c>
      <c r="B4" s="1">
        <v>40</v>
      </c>
      <c r="C4" s="4">
        <v>0.5</v>
      </c>
      <c r="D4" s="1">
        <v>92</v>
      </c>
      <c r="E4" s="4">
        <v>0.49</v>
      </c>
      <c r="F4" s="1">
        <v>200</v>
      </c>
      <c r="G4" s="4">
        <v>0.46</v>
      </c>
      <c r="H4" s="1">
        <v>419</v>
      </c>
      <c r="I4" s="4">
        <v>0.46</v>
      </c>
      <c r="J4" s="1">
        <v>171</v>
      </c>
      <c r="K4" s="4">
        <v>0.46</v>
      </c>
      <c r="L4" s="1">
        <v>65</v>
      </c>
      <c r="M4" s="4">
        <v>0.46</v>
      </c>
      <c r="N4" s="1">
        <v>25</v>
      </c>
      <c r="O4" s="4">
        <v>0.32</v>
      </c>
      <c r="P4" s="3">
        <f>((K4*I4)-(I4*I4))/(I4*(1-I4))</f>
        <v>0</v>
      </c>
      <c r="Q4" s="2">
        <f>SQRT(H4)*P4</f>
        <v>0</v>
      </c>
      <c r="R4" s="2">
        <f t="shared" si="0"/>
        <v>1</v>
      </c>
    </row>
    <row r="5" spans="1:18" x14ac:dyDescent="0.35">
      <c r="A5" s="1">
        <v>4</v>
      </c>
      <c r="B5" s="1">
        <v>13</v>
      </c>
      <c r="C5" s="4">
        <v>0.77</v>
      </c>
      <c r="D5" s="1">
        <v>38</v>
      </c>
      <c r="E5" s="4">
        <v>0.6</v>
      </c>
      <c r="F5" s="1">
        <v>126</v>
      </c>
      <c r="G5" s="4">
        <v>0.6</v>
      </c>
      <c r="H5" s="1">
        <v>339</v>
      </c>
      <c r="I5" s="4">
        <v>0.56000000000000005</v>
      </c>
      <c r="J5" s="1">
        <v>166</v>
      </c>
      <c r="K5" s="4">
        <v>0.55000000000000004</v>
      </c>
      <c r="L5" s="1">
        <v>76</v>
      </c>
      <c r="M5" s="4">
        <v>0.54</v>
      </c>
      <c r="N5" s="1">
        <v>32</v>
      </c>
      <c r="O5" s="4">
        <v>0.59</v>
      </c>
      <c r="P5" s="3">
        <f>((K5*I5)-(I5*I5))/(I5*(1-I5))</f>
        <v>-2.2727272727272704E-2</v>
      </c>
      <c r="Q5" s="2">
        <f>SQRT(H5)*P5</f>
        <v>-0.41845346908004427</v>
      </c>
      <c r="R5" s="2">
        <f t="shared" si="0"/>
        <v>0.67561560027995626</v>
      </c>
    </row>
    <row r="6" spans="1:18" x14ac:dyDescent="0.35">
      <c r="A6" s="1">
        <v>5</v>
      </c>
      <c r="B6" s="1">
        <v>20</v>
      </c>
      <c r="C6" s="4">
        <v>0.5</v>
      </c>
      <c r="D6" s="1">
        <v>48</v>
      </c>
      <c r="E6" s="4">
        <v>0.48</v>
      </c>
      <c r="F6" s="1">
        <v>117</v>
      </c>
      <c r="G6" s="4">
        <v>0.47</v>
      </c>
      <c r="H6" s="1">
        <v>272</v>
      </c>
      <c r="I6" s="4">
        <v>0.47</v>
      </c>
      <c r="J6" s="1">
        <v>108</v>
      </c>
      <c r="K6" s="4">
        <v>0.45</v>
      </c>
      <c r="L6" s="1">
        <v>37</v>
      </c>
      <c r="M6" s="4">
        <v>0.43</v>
      </c>
      <c r="N6" s="1">
        <v>11</v>
      </c>
      <c r="O6" s="4">
        <v>0.27</v>
      </c>
      <c r="P6" s="3">
        <f>((K6*I6)-(I6*I6))/(I6*(1-I6))</f>
        <v>-3.7735849056603744E-2</v>
      </c>
      <c r="Q6" s="2">
        <f>SQRT(H6)*P6</f>
        <v>-0.62235556613096721</v>
      </c>
      <c r="R6" s="2">
        <f t="shared" si="0"/>
        <v>0.53370809109679063</v>
      </c>
    </row>
    <row r="7" spans="1:18" x14ac:dyDescent="0.35">
      <c r="A7" s="1">
        <v>6</v>
      </c>
      <c r="B7" s="1">
        <v>33</v>
      </c>
      <c r="C7" s="4">
        <v>0.52</v>
      </c>
      <c r="D7" s="1">
        <v>90</v>
      </c>
      <c r="E7" s="4">
        <v>0.53</v>
      </c>
      <c r="F7" s="1">
        <v>216</v>
      </c>
      <c r="G7" s="4">
        <v>0.51</v>
      </c>
      <c r="H7" s="1">
        <v>451</v>
      </c>
      <c r="I7" s="4">
        <v>0.46</v>
      </c>
      <c r="J7" s="1">
        <v>190</v>
      </c>
      <c r="K7" s="4">
        <v>0.43</v>
      </c>
      <c r="L7" s="1">
        <v>77</v>
      </c>
      <c r="M7" s="4">
        <v>0.4</v>
      </c>
      <c r="N7" s="1">
        <v>29</v>
      </c>
      <c r="O7" s="4">
        <v>0.34</v>
      </c>
      <c r="P7" s="3">
        <f>((K7*I7)-(I7*I7))/(I7*(1-I7))</f>
        <v>-5.5555555555555573E-2</v>
      </c>
      <c r="Q7" s="2">
        <f>SQRT(H7)*P7</f>
        <v>-1.1798200323108505</v>
      </c>
      <c r="R7" s="2">
        <f t="shared" si="0"/>
        <v>0.2380718003828648</v>
      </c>
    </row>
    <row r="8" spans="1:18" x14ac:dyDescent="0.35">
      <c r="A8" s="1">
        <v>7</v>
      </c>
      <c r="B8" s="1">
        <v>23</v>
      </c>
      <c r="C8" s="4">
        <v>0.61</v>
      </c>
      <c r="D8" s="1">
        <v>66</v>
      </c>
      <c r="E8" s="4">
        <v>0.57999999999999996</v>
      </c>
      <c r="F8" s="1">
        <v>179</v>
      </c>
      <c r="G8" s="4">
        <v>0.57999999999999996</v>
      </c>
      <c r="H8" s="1">
        <v>433</v>
      </c>
      <c r="I8" s="4">
        <v>0.54</v>
      </c>
      <c r="J8" s="1">
        <v>207</v>
      </c>
      <c r="K8" s="4">
        <v>0.53</v>
      </c>
      <c r="L8" s="1">
        <v>96</v>
      </c>
      <c r="M8" s="4">
        <v>0.47</v>
      </c>
      <c r="N8" s="1">
        <v>36</v>
      </c>
      <c r="O8" s="4">
        <v>0.53</v>
      </c>
      <c r="P8" s="3">
        <f>((K8*I8)-(I8*I8))/(I8*(1-I8))</f>
        <v>-2.1739130434782671E-2</v>
      </c>
      <c r="Q8" s="2">
        <f>SQRT(H8)*P8</f>
        <v>-0.45236200101488855</v>
      </c>
      <c r="R8" s="2">
        <f t="shared" si="0"/>
        <v>0.6510082168640392</v>
      </c>
    </row>
    <row r="9" spans="1:18" x14ac:dyDescent="0.35">
      <c r="A9" s="1">
        <v>8</v>
      </c>
      <c r="B9" s="1">
        <v>20</v>
      </c>
      <c r="C9" s="4">
        <v>0.7</v>
      </c>
      <c r="D9" s="1">
        <v>54</v>
      </c>
      <c r="E9" s="4">
        <v>0.56000000000000005</v>
      </c>
      <c r="F9" s="1">
        <v>147</v>
      </c>
      <c r="G9" s="4">
        <v>0.52</v>
      </c>
      <c r="H9" s="1">
        <v>351</v>
      </c>
      <c r="I9" s="4">
        <v>0.52</v>
      </c>
      <c r="J9" s="1">
        <v>163</v>
      </c>
      <c r="K9" s="4">
        <v>0.51</v>
      </c>
      <c r="L9" s="1">
        <v>77</v>
      </c>
      <c r="M9" s="4">
        <v>0.48</v>
      </c>
      <c r="N9" s="1">
        <v>33</v>
      </c>
      <c r="O9" s="4">
        <v>0.36</v>
      </c>
      <c r="P9" s="3">
        <f>((K9*I9)-(I9*I9))/(I9*(1-I9))</f>
        <v>-2.0833333333333485E-2</v>
      </c>
      <c r="Q9" s="2">
        <f>SQRT(H9)*P9</f>
        <v>-0.39031237489990267</v>
      </c>
      <c r="R9" s="2">
        <f t="shared" si="0"/>
        <v>0.69630557370474255</v>
      </c>
    </row>
    <row r="10" spans="1:18" x14ac:dyDescent="0.35">
      <c r="A10" s="1">
        <v>9</v>
      </c>
      <c r="B10" s="1">
        <v>8</v>
      </c>
      <c r="C10" s="4">
        <v>0.88</v>
      </c>
      <c r="D10" s="1">
        <v>33</v>
      </c>
      <c r="E10" s="4">
        <v>0.73</v>
      </c>
      <c r="F10" s="1">
        <v>136</v>
      </c>
      <c r="G10" s="4">
        <v>0.71</v>
      </c>
      <c r="H10" s="1">
        <v>403</v>
      </c>
      <c r="I10" s="4">
        <v>0.62</v>
      </c>
      <c r="J10" s="1">
        <v>222</v>
      </c>
      <c r="K10" s="4">
        <v>0.56999999999999995</v>
      </c>
      <c r="L10" s="1">
        <v>111</v>
      </c>
      <c r="M10" s="4">
        <v>0.57999999999999996</v>
      </c>
      <c r="N10" s="1">
        <v>55</v>
      </c>
      <c r="O10" s="4">
        <v>0.51</v>
      </c>
      <c r="P10" s="3">
        <f>((K10*I10)-(I10*I10))/(I10*(1-I10))</f>
        <v>-0.13157894736842116</v>
      </c>
      <c r="Q10" s="2">
        <f>SQRT(H10)*P10</f>
        <v>-2.6414289341953614</v>
      </c>
      <c r="R10" s="2">
        <f t="shared" si="0"/>
        <v>8.2557124925153325E-3</v>
      </c>
    </row>
    <row r="11" spans="1:18" x14ac:dyDescent="0.35">
      <c r="A11" s="1"/>
      <c r="B11" s="1"/>
      <c r="D11" s="1"/>
      <c r="E11" s="1"/>
      <c r="F11" s="1"/>
      <c r="G11" s="1"/>
      <c r="H11" s="1"/>
    </row>
    <row r="12" spans="1:18" x14ac:dyDescent="0.35">
      <c r="A12" s="1"/>
      <c r="B12" s="1"/>
      <c r="D12" s="1"/>
      <c r="E12" s="1"/>
      <c r="F12" s="1"/>
      <c r="G12" s="1"/>
      <c r="H12" s="1"/>
      <c r="P12" s="2"/>
    </row>
    <row r="13" spans="1:18" x14ac:dyDescent="0.35">
      <c r="A13" s="1"/>
      <c r="B13" s="1"/>
      <c r="D13" s="1"/>
      <c r="E13" s="1"/>
      <c r="F13" s="1"/>
      <c r="G13" s="1"/>
      <c r="H13" s="1"/>
    </row>
    <row r="14" spans="1:18" x14ac:dyDescent="0.35">
      <c r="A14" s="1"/>
      <c r="B14" s="1"/>
      <c r="D14" s="1"/>
      <c r="E14" s="1"/>
      <c r="F14" s="1"/>
      <c r="G14" s="1"/>
      <c r="H14" s="1"/>
    </row>
    <row r="15" spans="1:18" x14ac:dyDescent="0.35">
      <c r="A15" s="1"/>
      <c r="B15" s="1"/>
      <c r="D15" s="1"/>
      <c r="E15" s="1"/>
      <c r="F15" s="1"/>
      <c r="G15" s="1"/>
      <c r="H15" s="1"/>
    </row>
    <row r="16" spans="1:18" x14ac:dyDescent="0.35">
      <c r="A16" s="1"/>
      <c r="B16" s="1"/>
      <c r="D16" s="1"/>
      <c r="E16" s="1"/>
      <c r="F16" s="1"/>
      <c r="G16" s="1"/>
      <c r="H16" s="1"/>
    </row>
    <row r="17" spans="1:8" x14ac:dyDescent="0.35">
      <c r="A17" s="1"/>
      <c r="B17" s="1"/>
      <c r="D17" s="1"/>
      <c r="E17" s="1"/>
      <c r="F17" s="1"/>
      <c r="G17" s="1"/>
      <c r="H17" s="1"/>
    </row>
    <row r="18" spans="1:8" x14ac:dyDescent="0.35">
      <c r="A18" s="1"/>
      <c r="B18" s="1"/>
      <c r="D18" s="1"/>
      <c r="E18" s="1"/>
      <c r="F18" s="1"/>
      <c r="G18" s="1"/>
      <c r="H18" s="1"/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9AF7FDC5-8ADF-48C7-9B72-A974898A941E}">
          <xm:f>original!1:1048576</xm:f>
        </x15:webExtension>
        <x15:webExtension appRef="{B141C23E-F562-42B8-833B-E5D0602AB5C8}">
          <xm:f>original!$C$2:$C$10</xm:f>
        </x15:webExtension>
        <x15:webExtension appRef="{BF281E59-4235-41CF-84A7-F2DEB761782D}">
          <xm:f>original!$O$2:$O$10</xm:f>
        </x15:webExtension>
        <x15:webExtension appRef="{60938971-AA37-402E-9336-EEDE41C0790C}">
          <xm:f>original!$AB$1:$AD$15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Chinchalkar</dc:creator>
  <cp:lastModifiedBy>Nikhil Chinchalkar</cp:lastModifiedBy>
  <dcterms:created xsi:type="dcterms:W3CDTF">2026-02-21T20:13:05Z</dcterms:created>
  <dcterms:modified xsi:type="dcterms:W3CDTF">2026-03-21T01:34:38Z</dcterms:modified>
</cp:coreProperties>
</file>